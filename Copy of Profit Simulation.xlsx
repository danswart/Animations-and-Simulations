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D1014EF-9F53-4B21-AA10-98A9637996EB}" xr6:coauthVersionLast="47" xr6:coauthVersionMax="47" xr10:uidLastSave="{00000000-0000-0000-0000-000000000000}"/>
  <bookViews>
    <workbookView xWindow="-90" yWindow="-90" windowWidth="25780" windowHeight="13980" xr2:uid="{00000000-000D-0000-FFFF-FFFF00000000}"/>
  </bookViews>
  <sheets>
    <sheet name="Profit_Model" sheetId="1" r:id="rId1"/>
    <sheet name="Historical_Data" sheetId="2" r:id="rId2"/>
  </sheets>
  <definedNames>
    <definedName name="_FC" comment="Fixed Cost">Profit_Model!$C$16</definedName>
    <definedName name="_P" comment="Price">Profit_Model!$C$12</definedName>
    <definedName name="_Pr" comment="Profit">Profit_Model!$C$21</definedName>
    <definedName name="_QS" comment="Quantity Sold">Profit_Model!$C$11</definedName>
    <definedName name="_TC" comment="Total Cost">Profit_Model!$C$20</definedName>
    <definedName name="_TR" comment="Total Revenue">Profit_Model!$C$19</definedName>
    <definedName name="_VC" comment="Variable Cost">Profit_Model!$C$15</definedName>
    <definedName name="_VC_Percent">Profit_Model!$C$13</definedName>
    <definedName name="headingrng">Historical_Data!$A$1:$C$1</definedName>
    <definedName name="rngxl">Historical_Data!$A$4</definedName>
    <definedName name="rngxl2_">Historical_Data!$A$2</definedName>
    <definedName name="rngxl3">Historical_Data!$A$2:$A$101</definedName>
    <definedName name="rngxlds">Historical_Data!$A$2:$A$101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F4" i="2"/>
  <c r="F3" i="2"/>
  <c r="F2" i="2"/>
  <c r="C20" i="1" l="1"/>
  <c r="C19" i="1"/>
  <c r="C21" i="1" l="1"/>
</calcChain>
</file>

<file path=xl/sharedStrings.xml><?xml version="1.0" encoding="utf-8"?>
<sst xmlns="http://schemas.openxmlformats.org/spreadsheetml/2006/main" count="25" uniqueCount="21">
  <si>
    <t>Basic Profit Simulation</t>
  </si>
  <si>
    <t>Example of DiscoverSim Monte Carlo simulation to determine probability of profit.</t>
  </si>
  <si>
    <t>Profit Requirement: Pr &gt; 0 dollars (LSL = 0)</t>
  </si>
  <si>
    <t>Profit, Pr = TR - TC</t>
  </si>
  <si>
    <t>Output</t>
  </si>
  <si>
    <t>Total Revenue, TR = Quantity Sold * Price</t>
  </si>
  <si>
    <t>Input</t>
  </si>
  <si>
    <t>DiscoverSim Input Distribution</t>
  </si>
  <si>
    <t>Quantity Sold (QS)</t>
  </si>
  <si>
    <t>Variable Cost (VC)</t>
  </si>
  <si>
    <t>Fixed Cost (FC)</t>
  </si>
  <si>
    <t>Total Revenue (TR)</t>
  </si>
  <si>
    <t>Total Cost (TC)</t>
  </si>
  <si>
    <t>Profit (Pr)</t>
  </si>
  <si>
    <t>Price (P)</t>
  </si>
  <si>
    <t xml:space="preserve"> </t>
  </si>
  <si>
    <t>Quantity Sold</t>
  </si>
  <si>
    <t>Price</t>
  </si>
  <si>
    <t>Variable Cost (%)</t>
  </si>
  <si>
    <t>Data Average</t>
  </si>
  <si>
    <t>Total Cost, TC = Quantity Sold * Variable Cost + Fixed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</si>
</sst>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35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9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8" xfId="0" applyNumberFormat="1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0" xfId="0" applyNumberFormat="1" applyFill="1" applyBorder="1" applyAlignment="1">
      <alignment horizontal="center"/>
    </xf>
    <xf numFmtId="0" fontId="3" fillId="0" borderId="11" xfId="1" applyBorder="1" applyAlignment="1">
      <alignment horizontal="center"/>
    </xf>
    <xf numFmtId="2" fontId="3" fillId="0" borderId="11" xfId="1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10" fontId="3" fillId="0" borderId="11" xfId="1" applyNumberFormat="1" applyBorder="1" applyAlignment="1">
      <alignment horizontal="center"/>
    </xf>
    <xf numFmtId="2" fontId="0" fillId="0" borderId="11" xfId="0" applyNumberFormat="1" applyBorder="1"/>
    <xf numFmtId="10" fontId="0" fillId="0" borderId="11" xfId="0" applyNumberFormat="1" applyBorder="1"/>
    <xf numFmtId="0" fontId="0" fillId="0" borderId="0" xfId="0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4" fillId="0" borderId="9" xfId="2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64" fontId="0" fillId="0" borderId="4" xfId="0" applyNumberForma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10" fontId="0" fillId="0" borderId="0" xfId="0" applyNumberFormat="1"/>
    <xf numFmtId="0" fontId="3" fillId="0" borderId="0" xfId="1" applyFont="1" applyFill="1" applyBorder="1" applyAlignment="1">
      <alignment horizontal="center"/>
    </xf>
    <xf numFmtId="2" fontId="3" fillId="0" borderId="0" xfId="1" applyNumberFormat="1" applyFont="1" applyFill="1" applyBorder="1" applyAlignment="1">
      <alignment horizontal="center"/>
    </xf>
    <xf numFmtId="10" fontId="3" fillId="0" borderId="0" xfId="1" applyNumberFormat="1" applyFont="1" applyFill="1" applyBorder="1" applyAlignment="1">
      <alignment horizontal="center"/>
    </xf>
    <xf numFmtId="1" fontId="0" fillId="0" borderId="5" xfId="0" applyNumberFormat="1" applyFill="1" applyBorder="1" applyAlignment="1">
      <alignment horizontal="center"/>
    </xf>
    <xf numFmtId="3" fontId="3" fillId="0" borderId="0" xfId="1" applyNumberFormat="1" applyFont="1" applyFill="1" applyBorder="1" applyAlignment="1">
      <alignment horizontal="center"/>
    </xf>
  </cellXfs>
  <cellStyles count="3">
    <cellStyle name="Normal" xfId="0" builtinId="0"/>
    <cellStyle name="Normal_Profit Model" xfId="2" xr:uid="{00000000-0005-0000-0000-000001000000}"/>
    <cellStyle name="Normal_Sheet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1219199</xdr:colOff>
      <xdr:row>0</xdr:row>
      <xdr:rowOff>142875</xdr:rowOff>
    </xdr:from>
    <xdr:to>
      <xdr:col>6</xdr:col>
      <xdr:colOff>200025</xdr:colOff>
      <xdr:row>9</xdr:row>
      <xdr:rowOff>59030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3849" y="142875"/>
          <a:ext cx="2200276" cy="18021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50"/>
  <sheetViews>
    <sheetView showGridLines="0" tabSelected="1" workbookViewId="0">
      <selection activeCell="C11" sqref="C11"/>
    </sheetView>
  </sheetViews>
  <sheetFormatPr defaultRowHeight="14.75" x14ac:dyDescent="0.75"/>
  <cols>
    <col min="1" max="1" width="2" customWidth="1"/>
    <col min="2" max="2" width="18.1328125" customWidth="1"/>
    <col min="3" max="3" width="23.54296875" customWidth="1"/>
    <col min="4" max="4" width="25.1328125" customWidth="1"/>
    <col min="5" max="6" width="11.54296875" customWidth="1"/>
    <col min="7" max="9" width="20.7265625" customWidth="1"/>
    <col min="10" max="10" width="2.26953125" customWidth="1"/>
    <col min="11" max="11" width="14.1328125" customWidth="1"/>
    <col min="12" max="12" width="13.86328125" customWidth="1"/>
    <col min="13" max="13" width="13.1328125" customWidth="1"/>
    <col min="14" max="14" width="15.40625" customWidth="1"/>
    <col min="15" max="16" width="17.86328125" customWidth="1"/>
    <col min="17" max="17" width="1.40625" customWidth="1"/>
    <col min="18" max="18" width="12.7265625" customWidth="1"/>
    <col min="19" max="19" width="11.1328125" customWidth="1"/>
    <col min="20" max="20" width="12.26953125" customWidth="1"/>
    <col min="21" max="21" width="11.26953125" customWidth="1"/>
    <col min="22" max="22" width="1.40625" customWidth="1"/>
    <col min="23" max="23" width="29.40625" customWidth="1"/>
    <col min="24" max="24" width="15.1328125" customWidth="1"/>
  </cols>
  <sheetData>
    <row r="1" spans="2:6" x14ac:dyDescent="0.75">
      <c r="B1" s="1" t="s">
        <v>0</v>
      </c>
    </row>
    <row r="2" spans="2:6" x14ac:dyDescent="0.75">
      <c r="B2" t="s">
        <v>1</v>
      </c>
    </row>
    <row r="4" spans="2:6" x14ac:dyDescent="0.75">
      <c r="B4" t="s">
        <v>2</v>
      </c>
    </row>
    <row r="5" spans="2:6" x14ac:dyDescent="0.75">
      <c r="B5" t="s">
        <v>5</v>
      </c>
    </row>
    <row r="6" spans="2:6" x14ac:dyDescent="0.75">
      <c r="B6" t="s">
        <v>20</v>
      </c>
    </row>
    <row r="7" spans="2:6" x14ac:dyDescent="0.75">
      <c r="B7" t="s">
        <v>3</v>
      </c>
    </row>
    <row r="9" spans="2:6" ht="28.5" customHeight="1" thickBot="1" x14ac:dyDescent="0.9"/>
    <row r="10" spans="2:6" ht="46.5" customHeight="1" thickBot="1" x14ac:dyDescent="0.9">
      <c r="B10" s="8" t="s">
        <v>6</v>
      </c>
      <c r="C10" s="2" t="s">
        <v>7</v>
      </c>
    </row>
    <row r="11" spans="2:6" x14ac:dyDescent="0.75">
      <c r="B11" s="9" t="s">
        <v>8</v>
      </c>
      <c r="C11" s="33">
        <v>97</v>
      </c>
    </row>
    <row r="12" spans="2:6" x14ac:dyDescent="0.75">
      <c r="B12" s="4" t="s">
        <v>14</v>
      </c>
      <c r="C12" s="10">
        <v>10.050000000000001</v>
      </c>
    </row>
    <row r="13" spans="2:6" ht="15.5" thickBot="1" x14ac:dyDescent="0.9">
      <c r="B13" s="23" t="s">
        <v>18</v>
      </c>
      <c r="C13" s="24">
        <v>0.39</v>
      </c>
      <c r="F13" t="s">
        <v>15</v>
      </c>
    </row>
    <row r="14" spans="2:6" ht="15.5" thickBot="1" x14ac:dyDescent="0.9">
      <c r="B14" s="21"/>
      <c r="C14" s="22"/>
    </row>
    <row r="15" spans="2:6" x14ac:dyDescent="0.75">
      <c r="B15" s="3" t="s">
        <v>9</v>
      </c>
      <c r="C15" s="25">
        <f>_P*_VC_Percent</f>
        <v>3.9195000000000002</v>
      </c>
    </row>
    <row r="16" spans="2:6" ht="15.5" thickBot="1" x14ac:dyDescent="0.9">
      <c r="B16" s="5" t="s">
        <v>10</v>
      </c>
      <c r="C16" s="13">
        <v>200</v>
      </c>
    </row>
    <row r="17" spans="1:5" ht="15.5" thickBot="1" x14ac:dyDescent="0.9">
      <c r="E17" s="6"/>
    </row>
    <row r="18" spans="1:5" ht="19.25" thickBot="1" x14ac:dyDescent="1.05">
      <c r="B18" s="27"/>
      <c r="C18" s="28" t="s">
        <v>4</v>
      </c>
    </row>
    <row r="19" spans="1:5" x14ac:dyDescent="0.75">
      <c r="B19" s="9" t="s">
        <v>11</v>
      </c>
      <c r="C19" s="26">
        <f xml:space="preserve"> _QS * _P</f>
        <v>974.85</v>
      </c>
    </row>
    <row r="20" spans="1:5" x14ac:dyDescent="0.75">
      <c r="B20" s="4" t="s">
        <v>12</v>
      </c>
      <c r="C20" s="11">
        <f xml:space="preserve"> _QS * _VC + _FC</f>
        <v>580.19150000000002</v>
      </c>
    </row>
    <row r="21" spans="1:5" ht="15.5" thickBot="1" x14ac:dyDescent="0.9">
      <c r="B21" s="7" t="s">
        <v>13</v>
      </c>
      <c r="C21" s="12">
        <f xml:space="preserve"> _TR - _TC</f>
        <v>394.6585</v>
      </c>
    </row>
    <row r="31" spans="1:5" x14ac:dyDescent="0.75">
      <c r="A31" s="1"/>
    </row>
    <row r="50" spans="1:1" x14ac:dyDescent="0.75">
      <c r="A5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01"/>
  <sheetViews>
    <sheetView workbookViewId="0">
      <selection sqref="A1:C101"/>
    </sheetView>
  </sheetViews>
  <sheetFormatPr defaultRowHeight="14.75" x14ac:dyDescent="0.75"/>
  <cols>
    <col min="1" max="1" width="17.1328125" customWidth="1"/>
    <col min="2" max="2" width="20.40625" customWidth="1"/>
    <col min="3" max="3" width="20.1328125" style="29" customWidth="1"/>
    <col min="5" max="5" width="17.26953125" customWidth="1"/>
    <col min="6" max="6" width="20.7265625" customWidth="1"/>
  </cols>
  <sheetData>
    <row r="1" spans="1:6" x14ac:dyDescent="0.75">
      <c r="A1" s="30" t="s">
        <v>16</v>
      </c>
      <c r="B1" s="31" t="s">
        <v>17</v>
      </c>
      <c r="C1" s="32" t="s">
        <v>18</v>
      </c>
      <c r="F1" s="16" t="s">
        <v>19</v>
      </c>
    </row>
    <row r="2" spans="1:6" x14ac:dyDescent="0.75">
      <c r="A2" s="34">
        <v>80</v>
      </c>
      <c r="B2" s="30">
        <v>10.16</v>
      </c>
      <c r="C2" s="32">
        <v>0.28089999999999998</v>
      </c>
      <c r="E2" s="14" t="s">
        <v>16</v>
      </c>
      <c r="F2" s="17">
        <f>AVERAGE(A2:A101)</f>
        <v>97.24</v>
      </c>
    </row>
    <row r="3" spans="1:6" x14ac:dyDescent="0.75">
      <c r="A3" s="34">
        <v>95</v>
      </c>
      <c r="B3" s="30">
        <v>10.17</v>
      </c>
      <c r="C3" s="32">
        <v>0.4909</v>
      </c>
      <c r="E3" s="15" t="s">
        <v>17</v>
      </c>
      <c r="F3" s="19">
        <f>AVERAGE(B2:B101)</f>
        <v>10.049400000000002</v>
      </c>
    </row>
    <row r="4" spans="1:6" x14ac:dyDescent="0.75">
      <c r="A4" s="34">
        <v>128</v>
      </c>
      <c r="B4" s="30">
        <v>9.6199999999999992</v>
      </c>
      <c r="C4" s="32">
        <v>0.25700000000000001</v>
      </c>
      <c r="E4" s="18" t="s">
        <v>18</v>
      </c>
      <c r="F4" s="20">
        <f>AVERAGE(C2:C101)</f>
        <v>0.39369699999999985</v>
      </c>
    </row>
    <row r="5" spans="1:6" x14ac:dyDescent="0.75">
      <c r="A5" s="34">
        <v>118</v>
      </c>
      <c r="B5" s="30">
        <v>9.58</v>
      </c>
      <c r="C5" s="32">
        <v>0.28310000000000002</v>
      </c>
    </row>
    <row r="6" spans="1:6" x14ac:dyDescent="0.75">
      <c r="A6" s="34">
        <v>91</v>
      </c>
      <c r="B6" s="30">
        <v>9.65</v>
      </c>
      <c r="C6" s="32">
        <v>0.47649999999999998</v>
      </c>
    </row>
    <row r="7" spans="1:6" x14ac:dyDescent="0.75">
      <c r="A7" s="34">
        <v>85</v>
      </c>
      <c r="B7" s="30">
        <v>10.39</v>
      </c>
      <c r="C7" s="32">
        <v>0.24379999999999999</v>
      </c>
    </row>
    <row r="8" spans="1:6" x14ac:dyDescent="0.75">
      <c r="A8" s="34">
        <v>87</v>
      </c>
      <c r="B8" s="30">
        <v>9.9600000000000009</v>
      </c>
      <c r="C8" s="32">
        <v>0.1472</v>
      </c>
    </row>
    <row r="9" spans="1:6" x14ac:dyDescent="0.75">
      <c r="A9" s="34">
        <v>92</v>
      </c>
      <c r="B9" s="30">
        <v>10.4</v>
      </c>
      <c r="C9" s="32">
        <v>0.48309999999999997</v>
      </c>
    </row>
    <row r="10" spans="1:6" x14ac:dyDescent="0.75">
      <c r="A10" s="34">
        <v>118</v>
      </c>
      <c r="B10" s="30">
        <v>9.4700000000000006</v>
      </c>
      <c r="C10" s="32">
        <v>0.2482</v>
      </c>
    </row>
    <row r="11" spans="1:6" x14ac:dyDescent="0.75">
      <c r="A11" s="34">
        <v>112</v>
      </c>
      <c r="B11" s="30">
        <v>10.49</v>
      </c>
      <c r="C11" s="32">
        <v>0.50590000000000002</v>
      </c>
    </row>
    <row r="12" spans="1:6" x14ac:dyDescent="0.75">
      <c r="A12" s="34">
        <v>81</v>
      </c>
      <c r="B12" s="30">
        <v>10.41</v>
      </c>
      <c r="C12" s="32">
        <v>0.53869999999999996</v>
      </c>
    </row>
    <row r="13" spans="1:6" x14ac:dyDescent="0.75">
      <c r="A13" s="34">
        <v>104</v>
      </c>
      <c r="B13" s="30">
        <v>10.37</v>
      </c>
      <c r="C13" s="32">
        <v>0.6573</v>
      </c>
    </row>
    <row r="14" spans="1:6" x14ac:dyDescent="0.75">
      <c r="A14" s="34">
        <v>94</v>
      </c>
      <c r="B14" s="30">
        <v>10.15</v>
      </c>
      <c r="C14" s="32">
        <v>0.3765</v>
      </c>
    </row>
    <row r="15" spans="1:6" x14ac:dyDescent="0.75">
      <c r="A15" s="34">
        <v>107</v>
      </c>
      <c r="B15" s="30">
        <v>9.75</v>
      </c>
      <c r="C15" s="32">
        <v>0.3125</v>
      </c>
    </row>
    <row r="16" spans="1:6" x14ac:dyDescent="0.75">
      <c r="A16" s="34">
        <v>99</v>
      </c>
      <c r="B16" s="30">
        <v>9.92</v>
      </c>
      <c r="C16" s="32">
        <v>0.6623</v>
      </c>
    </row>
    <row r="17" spans="1:3" x14ac:dyDescent="0.75">
      <c r="A17" s="34">
        <v>93</v>
      </c>
      <c r="B17" s="30">
        <v>10.210000000000001</v>
      </c>
      <c r="C17" s="32">
        <v>0.36359999999999998</v>
      </c>
    </row>
    <row r="18" spans="1:3" x14ac:dyDescent="0.75">
      <c r="A18" s="34">
        <v>105</v>
      </c>
      <c r="B18" s="30">
        <v>10.09</v>
      </c>
      <c r="C18" s="32">
        <v>0.34039999999999998</v>
      </c>
    </row>
    <row r="19" spans="1:3" x14ac:dyDescent="0.75">
      <c r="A19" s="34">
        <v>146</v>
      </c>
      <c r="B19" s="30">
        <v>9.34</v>
      </c>
      <c r="C19" s="32">
        <v>0.25019999999999998</v>
      </c>
    </row>
    <row r="20" spans="1:3" x14ac:dyDescent="0.75">
      <c r="A20" s="34">
        <v>82</v>
      </c>
      <c r="B20" s="30">
        <v>10.25</v>
      </c>
      <c r="C20" s="32">
        <v>0.28089999999999998</v>
      </c>
    </row>
    <row r="21" spans="1:3" x14ac:dyDescent="0.75">
      <c r="A21" s="34">
        <v>99</v>
      </c>
      <c r="B21" s="30">
        <v>9.81</v>
      </c>
      <c r="C21" s="32">
        <v>0.49940000000000001</v>
      </c>
    </row>
    <row r="22" spans="1:3" x14ac:dyDescent="0.75">
      <c r="A22" s="34">
        <v>78</v>
      </c>
      <c r="B22" s="30">
        <v>10.44</v>
      </c>
      <c r="C22" s="32">
        <v>0.3962</v>
      </c>
    </row>
    <row r="23" spans="1:3" x14ac:dyDescent="0.75">
      <c r="A23" s="34">
        <v>111</v>
      </c>
      <c r="B23" s="30">
        <v>9.56</v>
      </c>
      <c r="C23" s="32">
        <v>0.219</v>
      </c>
    </row>
    <row r="24" spans="1:3" x14ac:dyDescent="0.75">
      <c r="A24" s="34">
        <v>123</v>
      </c>
      <c r="B24" s="30">
        <v>9.4700000000000006</v>
      </c>
      <c r="C24" s="32">
        <v>0.4622</v>
      </c>
    </row>
    <row r="25" spans="1:3" x14ac:dyDescent="0.75">
      <c r="A25" s="34">
        <v>70</v>
      </c>
      <c r="B25" s="30">
        <v>10.63</v>
      </c>
      <c r="C25" s="32">
        <v>0.59819999999999995</v>
      </c>
    </row>
    <row r="26" spans="1:3" x14ac:dyDescent="0.75">
      <c r="A26" s="34">
        <v>110</v>
      </c>
      <c r="B26" s="30">
        <v>9.41</v>
      </c>
      <c r="C26" s="32">
        <v>0.27300000000000002</v>
      </c>
    </row>
    <row r="27" spans="1:3" x14ac:dyDescent="0.75">
      <c r="A27" s="34">
        <v>107</v>
      </c>
      <c r="B27" s="30">
        <v>9.57</v>
      </c>
      <c r="C27" s="32">
        <v>0.60829999999999995</v>
      </c>
    </row>
    <row r="28" spans="1:3" x14ac:dyDescent="0.75">
      <c r="A28" s="34">
        <v>107</v>
      </c>
      <c r="B28" s="30">
        <v>9.56</v>
      </c>
      <c r="C28" s="32">
        <v>0.27660000000000001</v>
      </c>
    </row>
    <row r="29" spans="1:3" x14ac:dyDescent="0.75">
      <c r="A29" s="34">
        <v>120</v>
      </c>
      <c r="B29" s="30">
        <v>9.2799999999999994</v>
      </c>
      <c r="C29" s="32">
        <v>0.51580000000000004</v>
      </c>
    </row>
    <row r="30" spans="1:3" x14ac:dyDescent="0.75">
      <c r="A30" s="34">
        <v>99</v>
      </c>
      <c r="B30" s="30">
        <v>9.6</v>
      </c>
      <c r="C30" s="32">
        <v>0.1774</v>
      </c>
    </row>
    <row r="31" spans="1:3" x14ac:dyDescent="0.75">
      <c r="A31" s="34">
        <v>124</v>
      </c>
      <c r="B31" s="30">
        <v>9.2100000000000009</v>
      </c>
      <c r="C31" s="32">
        <v>0.33090000000000003</v>
      </c>
    </row>
    <row r="32" spans="1:3" x14ac:dyDescent="0.75">
      <c r="A32" s="34">
        <v>87</v>
      </c>
      <c r="B32" s="30">
        <v>10.23</v>
      </c>
      <c r="C32" s="32">
        <v>0.36509999999999998</v>
      </c>
    </row>
    <row r="33" spans="1:3" x14ac:dyDescent="0.75">
      <c r="A33" s="34">
        <v>117</v>
      </c>
      <c r="B33" s="30">
        <v>9.35</v>
      </c>
      <c r="C33" s="32">
        <v>0.39879999999999999</v>
      </c>
    </row>
    <row r="34" spans="1:3" x14ac:dyDescent="0.75">
      <c r="A34" s="34">
        <v>81</v>
      </c>
      <c r="B34" s="30">
        <v>10.31</v>
      </c>
      <c r="C34" s="32">
        <v>0.43630000000000002</v>
      </c>
    </row>
    <row r="35" spans="1:3" x14ac:dyDescent="0.75">
      <c r="A35" s="34">
        <v>103</v>
      </c>
      <c r="B35" s="30">
        <v>9.59</v>
      </c>
      <c r="C35" s="32">
        <v>0.43230000000000002</v>
      </c>
    </row>
    <row r="36" spans="1:3" x14ac:dyDescent="0.75">
      <c r="A36" s="34">
        <v>99</v>
      </c>
      <c r="B36" s="30">
        <v>10.23</v>
      </c>
      <c r="C36" s="32">
        <v>0.31159999999999999</v>
      </c>
    </row>
    <row r="37" spans="1:3" x14ac:dyDescent="0.75">
      <c r="A37" s="34">
        <v>98</v>
      </c>
      <c r="B37" s="30">
        <v>9.75</v>
      </c>
      <c r="C37" s="32">
        <v>0.4743</v>
      </c>
    </row>
    <row r="38" spans="1:3" x14ac:dyDescent="0.75">
      <c r="A38" s="34">
        <v>96</v>
      </c>
      <c r="B38" s="30">
        <v>9.34</v>
      </c>
      <c r="C38" s="32">
        <v>0.63739999999999997</v>
      </c>
    </row>
    <row r="39" spans="1:3" x14ac:dyDescent="0.75">
      <c r="A39" s="34">
        <v>124</v>
      </c>
      <c r="B39" s="30">
        <v>9.2899999999999991</v>
      </c>
      <c r="C39" s="32">
        <v>0.22589999999999999</v>
      </c>
    </row>
    <row r="40" spans="1:3" x14ac:dyDescent="0.75">
      <c r="A40" s="34">
        <v>104</v>
      </c>
      <c r="B40" s="30">
        <v>9.94</v>
      </c>
      <c r="C40" s="32">
        <v>0.55530000000000002</v>
      </c>
    </row>
    <row r="41" spans="1:3" x14ac:dyDescent="0.75">
      <c r="A41" s="34">
        <v>114</v>
      </c>
      <c r="B41" s="30">
        <v>9.56</v>
      </c>
      <c r="C41" s="32">
        <v>0.62190000000000001</v>
      </c>
    </row>
    <row r="42" spans="1:3" x14ac:dyDescent="0.75">
      <c r="A42" s="34">
        <v>53</v>
      </c>
      <c r="B42" s="30">
        <v>11.26</v>
      </c>
      <c r="C42" s="32">
        <v>0.55989999999999995</v>
      </c>
    </row>
    <row r="43" spans="1:3" x14ac:dyDescent="0.75">
      <c r="A43" s="34">
        <v>103</v>
      </c>
      <c r="B43" s="30">
        <v>9.6</v>
      </c>
      <c r="C43" s="32">
        <v>0.40810000000000002</v>
      </c>
    </row>
    <row r="44" spans="1:3" x14ac:dyDescent="0.75">
      <c r="A44" s="34">
        <v>101</v>
      </c>
      <c r="B44" s="30">
        <v>9.7200000000000006</v>
      </c>
      <c r="C44" s="32">
        <v>0.50770000000000004</v>
      </c>
    </row>
    <row r="45" spans="1:3" x14ac:dyDescent="0.75">
      <c r="A45" s="34">
        <v>114</v>
      </c>
      <c r="B45" s="30">
        <v>9.66</v>
      </c>
      <c r="C45" s="32">
        <v>0.61709999999999998</v>
      </c>
    </row>
    <row r="46" spans="1:3" x14ac:dyDescent="0.75">
      <c r="A46" s="34">
        <v>98</v>
      </c>
      <c r="B46" s="30">
        <v>9.51</v>
      </c>
      <c r="C46" s="32">
        <v>0.23810000000000001</v>
      </c>
    </row>
    <row r="47" spans="1:3" x14ac:dyDescent="0.75">
      <c r="A47" s="34">
        <v>83</v>
      </c>
      <c r="B47" s="30">
        <v>9.5500000000000007</v>
      </c>
      <c r="C47" s="32">
        <v>0.27589999999999998</v>
      </c>
    </row>
    <row r="48" spans="1:3" x14ac:dyDescent="0.75">
      <c r="A48" s="34">
        <v>99</v>
      </c>
      <c r="B48" s="30">
        <v>9.9</v>
      </c>
      <c r="C48" s="32">
        <v>0.35980000000000001</v>
      </c>
    </row>
    <row r="49" spans="1:3" x14ac:dyDescent="0.75">
      <c r="A49" s="34">
        <v>130</v>
      </c>
      <c r="B49" s="30">
        <v>9.18</v>
      </c>
      <c r="C49" s="32">
        <v>0.3831</v>
      </c>
    </row>
    <row r="50" spans="1:3" x14ac:dyDescent="0.75">
      <c r="A50" s="34">
        <v>126</v>
      </c>
      <c r="B50" s="30">
        <v>9.57</v>
      </c>
      <c r="C50" s="32">
        <v>0.40139999999999998</v>
      </c>
    </row>
    <row r="51" spans="1:3" x14ac:dyDescent="0.75">
      <c r="A51" s="34">
        <v>72</v>
      </c>
      <c r="B51" s="30">
        <v>10.64</v>
      </c>
      <c r="C51" s="32">
        <v>0.46339999999999998</v>
      </c>
    </row>
    <row r="52" spans="1:3" x14ac:dyDescent="0.75">
      <c r="A52" s="34">
        <v>96</v>
      </c>
      <c r="B52" s="30">
        <v>10.19</v>
      </c>
      <c r="C52" s="32">
        <v>0.2581</v>
      </c>
    </row>
    <row r="53" spans="1:3" x14ac:dyDescent="0.75">
      <c r="A53" s="34">
        <v>79</v>
      </c>
      <c r="B53" s="30">
        <v>10.17</v>
      </c>
      <c r="C53" s="32">
        <v>0.24249999999999999</v>
      </c>
    </row>
    <row r="54" spans="1:3" x14ac:dyDescent="0.75">
      <c r="A54" s="34">
        <v>100</v>
      </c>
      <c r="B54" s="30">
        <v>10.71</v>
      </c>
      <c r="C54" s="32">
        <v>0.1691</v>
      </c>
    </row>
    <row r="55" spans="1:3" x14ac:dyDescent="0.75">
      <c r="A55" s="34">
        <v>67</v>
      </c>
      <c r="B55" s="30">
        <v>10.91</v>
      </c>
      <c r="C55" s="32">
        <v>0.30649999999999999</v>
      </c>
    </row>
    <row r="56" spans="1:3" x14ac:dyDescent="0.75">
      <c r="A56" s="34">
        <v>131</v>
      </c>
      <c r="B56" s="30">
        <v>9.65</v>
      </c>
      <c r="C56" s="32">
        <v>0.1681</v>
      </c>
    </row>
    <row r="57" spans="1:3" x14ac:dyDescent="0.75">
      <c r="A57" s="34">
        <v>101</v>
      </c>
      <c r="B57" s="30">
        <v>9.44</v>
      </c>
      <c r="C57" s="32">
        <v>0.25919999999999999</v>
      </c>
    </row>
    <row r="58" spans="1:3" x14ac:dyDescent="0.75">
      <c r="A58" s="34">
        <v>119</v>
      </c>
      <c r="B58" s="30">
        <v>9.36</v>
      </c>
      <c r="C58" s="32">
        <v>0.2676</v>
      </c>
    </row>
    <row r="59" spans="1:3" x14ac:dyDescent="0.75">
      <c r="A59" s="34">
        <v>77</v>
      </c>
      <c r="B59" s="30">
        <v>10.63</v>
      </c>
      <c r="C59" s="32">
        <v>0.46189999999999998</v>
      </c>
    </row>
    <row r="60" spans="1:3" x14ac:dyDescent="0.75">
      <c r="A60" s="34">
        <v>95</v>
      </c>
      <c r="B60" s="30">
        <v>9.73</v>
      </c>
      <c r="C60" s="32">
        <v>0.61150000000000004</v>
      </c>
    </row>
    <row r="61" spans="1:3" x14ac:dyDescent="0.75">
      <c r="A61" s="34">
        <v>79</v>
      </c>
      <c r="B61" s="30">
        <v>10.37</v>
      </c>
      <c r="C61" s="32">
        <v>0.71709999999999996</v>
      </c>
    </row>
    <row r="62" spans="1:3" x14ac:dyDescent="0.75">
      <c r="A62" s="34">
        <v>107</v>
      </c>
      <c r="B62" s="30">
        <v>10.33</v>
      </c>
      <c r="C62" s="32">
        <v>0.31709999999999999</v>
      </c>
    </row>
    <row r="63" spans="1:3" x14ac:dyDescent="0.75">
      <c r="A63" s="34">
        <v>134</v>
      </c>
      <c r="B63" s="30">
        <v>9.49</v>
      </c>
      <c r="C63" s="32">
        <v>0.73209999999999997</v>
      </c>
    </row>
    <row r="64" spans="1:3" x14ac:dyDescent="0.75">
      <c r="A64" s="34">
        <v>80</v>
      </c>
      <c r="B64" s="30">
        <v>10.75</v>
      </c>
      <c r="C64" s="32">
        <v>0.22919999999999999</v>
      </c>
    </row>
    <row r="65" spans="1:3" x14ac:dyDescent="0.75">
      <c r="A65" s="34">
        <v>68</v>
      </c>
      <c r="B65" s="30">
        <v>11.02</v>
      </c>
      <c r="C65" s="32">
        <v>0.36009999999999998</v>
      </c>
    </row>
    <row r="66" spans="1:3" x14ac:dyDescent="0.75">
      <c r="A66" s="34">
        <v>93</v>
      </c>
      <c r="B66" s="30">
        <v>10.1</v>
      </c>
      <c r="C66" s="32">
        <v>0.29330000000000001</v>
      </c>
    </row>
    <row r="67" spans="1:3" x14ac:dyDescent="0.75">
      <c r="A67" s="34">
        <v>109</v>
      </c>
      <c r="B67" s="30">
        <v>9.6</v>
      </c>
      <c r="C67" s="32">
        <v>0.55230000000000001</v>
      </c>
    </row>
    <row r="68" spans="1:3" x14ac:dyDescent="0.75">
      <c r="A68" s="34">
        <v>94</v>
      </c>
      <c r="B68" s="30">
        <v>10.119999999999999</v>
      </c>
      <c r="C68" s="32">
        <v>0.13700000000000001</v>
      </c>
    </row>
    <row r="69" spans="1:3" x14ac:dyDescent="0.75">
      <c r="A69" s="34">
        <v>116</v>
      </c>
      <c r="B69" s="30">
        <v>9.51</v>
      </c>
      <c r="C69" s="32">
        <v>0.65180000000000005</v>
      </c>
    </row>
    <row r="70" spans="1:3" x14ac:dyDescent="0.75">
      <c r="A70" s="34">
        <v>95</v>
      </c>
      <c r="B70" s="30">
        <v>10</v>
      </c>
      <c r="C70" s="32">
        <v>0.4718</v>
      </c>
    </row>
    <row r="71" spans="1:3" x14ac:dyDescent="0.75">
      <c r="A71" s="34">
        <v>98</v>
      </c>
      <c r="B71" s="30">
        <v>9.42</v>
      </c>
      <c r="C71" s="32">
        <v>0.34339999999999998</v>
      </c>
    </row>
    <row r="72" spans="1:3" x14ac:dyDescent="0.75">
      <c r="A72" s="34">
        <v>81</v>
      </c>
      <c r="B72" s="30">
        <v>10.89</v>
      </c>
      <c r="C72" s="32">
        <v>0.2046</v>
      </c>
    </row>
    <row r="73" spans="1:3" x14ac:dyDescent="0.75">
      <c r="A73" s="34">
        <v>64</v>
      </c>
      <c r="B73" s="30">
        <v>11.09</v>
      </c>
      <c r="C73" s="32">
        <v>0.29830000000000001</v>
      </c>
    </row>
    <row r="74" spans="1:3" x14ac:dyDescent="0.75">
      <c r="A74" s="34">
        <v>102</v>
      </c>
      <c r="B74" s="30">
        <v>10.45</v>
      </c>
      <c r="C74" s="32">
        <v>0.27229999999999999</v>
      </c>
    </row>
    <row r="75" spans="1:3" x14ac:dyDescent="0.75">
      <c r="A75" s="34">
        <v>105</v>
      </c>
      <c r="B75" s="30">
        <v>10.029999999999999</v>
      </c>
      <c r="C75" s="32">
        <v>0.28320000000000001</v>
      </c>
    </row>
    <row r="76" spans="1:3" x14ac:dyDescent="0.75">
      <c r="A76" s="34">
        <v>111</v>
      </c>
      <c r="B76" s="30">
        <v>9.9</v>
      </c>
      <c r="C76" s="32">
        <v>0.64580000000000004</v>
      </c>
    </row>
    <row r="77" spans="1:3" x14ac:dyDescent="0.75">
      <c r="A77" s="34">
        <v>103</v>
      </c>
      <c r="B77" s="30">
        <v>10.06</v>
      </c>
      <c r="C77" s="32">
        <v>0.3574</v>
      </c>
    </row>
    <row r="78" spans="1:3" x14ac:dyDescent="0.75">
      <c r="A78" s="34">
        <v>115</v>
      </c>
      <c r="B78" s="30">
        <v>9.39</v>
      </c>
      <c r="C78" s="32">
        <v>0.24660000000000001</v>
      </c>
    </row>
    <row r="79" spans="1:3" x14ac:dyDescent="0.75">
      <c r="A79" s="34">
        <v>82</v>
      </c>
      <c r="B79" s="30">
        <v>10.09</v>
      </c>
      <c r="C79" s="32">
        <v>0.56079999999999997</v>
      </c>
    </row>
    <row r="80" spans="1:3" x14ac:dyDescent="0.75">
      <c r="A80" s="34">
        <v>58</v>
      </c>
      <c r="B80" s="30">
        <v>11.58</v>
      </c>
      <c r="C80" s="32">
        <v>0.36470000000000002</v>
      </c>
    </row>
    <row r="81" spans="1:3" x14ac:dyDescent="0.75">
      <c r="A81" s="34">
        <v>113</v>
      </c>
      <c r="B81" s="30">
        <v>9.7200000000000006</v>
      </c>
      <c r="C81" s="32">
        <v>0.4501</v>
      </c>
    </row>
    <row r="82" spans="1:3" x14ac:dyDescent="0.75">
      <c r="A82" s="34">
        <v>86</v>
      </c>
      <c r="B82" s="30">
        <v>10.64</v>
      </c>
      <c r="C82" s="32">
        <v>0.23069999999999999</v>
      </c>
    </row>
    <row r="83" spans="1:3" x14ac:dyDescent="0.75">
      <c r="A83" s="34">
        <v>104</v>
      </c>
      <c r="B83" s="30">
        <v>10</v>
      </c>
      <c r="C83" s="32">
        <v>0.50470000000000004</v>
      </c>
    </row>
    <row r="84" spans="1:3" x14ac:dyDescent="0.75">
      <c r="A84" s="34">
        <v>70</v>
      </c>
      <c r="B84" s="30">
        <v>11.49</v>
      </c>
      <c r="C84" s="32">
        <v>0.377</v>
      </c>
    </row>
    <row r="85" spans="1:3" x14ac:dyDescent="0.75">
      <c r="A85" s="34">
        <v>90</v>
      </c>
      <c r="B85" s="30">
        <v>11.01</v>
      </c>
      <c r="C85" s="32">
        <v>0.20619999999999999</v>
      </c>
    </row>
    <row r="86" spans="1:3" x14ac:dyDescent="0.75">
      <c r="A86" s="34">
        <v>86</v>
      </c>
      <c r="B86" s="30">
        <v>10.74</v>
      </c>
      <c r="C86" s="32">
        <v>0.25729999999999997</v>
      </c>
    </row>
    <row r="87" spans="1:3" x14ac:dyDescent="0.75">
      <c r="A87" s="34">
        <v>62</v>
      </c>
      <c r="B87" s="30">
        <v>11.38</v>
      </c>
      <c r="C87" s="32">
        <v>0.30669999999999997</v>
      </c>
    </row>
    <row r="88" spans="1:3" x14ac:dyDescent="0.75">
      <c r="A88" s="34">
        <v>60</v>
      </c>
      <c r="B88" s="30">
        <v>11.55</v>
      </c>
      <c r="C88" s="32">
        <v>0.38869999999999999</v>
      </c>
    </row>
    <row r="89" spans="1:3" x14ac:dyDescent="0.75">
      <c r="A89" s="34">
        <v>65</v>
      </c>
      <c r="B89" s="30">
        <v>10.09</v>
      </c>
      <c r="C89" s="32">
        <v>0.66149999999999998</v>
      </c>
    </row>
    <row r="90" spans="1:3" x14ac:dyDescent="0.75">
      <c r="A90" s="34">
        <v>105</v>
      </c>
      <c r="B90" s="30">
        <v>9.92</v>
      </c>
      <c r="C90" s="32">
        <v>0.45700000000000002</v>
      </c>
    </row>
    <row r="91" spans="1:3" x14ac:dyDescent="0.75">
      <c r="A91" s="34">
        <v>70</v>
      </c>
      <c r="B91" s="30">
        <v>10.27</v>
      </c>
      <c r="C91" s="32">
        <v>0.2797</v>
      </c>
    </row>
    <row r="92" spans="1:3" x14ac:dyDescent="0.75">
      <c r="A92" s="34">
        <v>73</v>
      </c>
      <c r="B92" s="30">
        <v>10.37</v>
      </c>
      <c r="C92" s="32">
        <v>0.73919999999999997</v>
      </c>
    </row>
    <row r="93" spans="1:3" x14ac:dyDescent="0.75">
      <c r="A93" s="34">
        <v>121</v>
      </c>
      <c r="B93" s="30">
        <v>9.5299999999999994</v>
      </c>
      <c r="C93" s="32">
        <v>0.55369999999999997</v>
      </c>
    </row>
    <row r="94" spans="1:3" x14ac:dyDescent="0.75">
      <c r="A94" s="34">
        <v>100</v>
      </c>
      <c r="B94" s="30">
        <v>10.09</v>
      </c>
      <c r="C94" s="32">
        <v>0.34429999999999999</v>
      </c>
    </row>
    <row r="95" spans="1:3" x14ac:dyDescent="0.75">
      <c r="A95" s="34">
        <v>79</v>
      </c>
      <c r="B95" s="30">
        <v>10.39</v>
      </c>
      <c r="C95" s="32">
        <v>0.22090000000000001</v>
      </c>
    </row>
    <row r="96" spans="1:3" x14ac:dyDescent="0.75">
      <c r="A96" s="34">
        <v>105</v>
      </c>
      <c r="B96" s="30">
        <v>9.64</v>
      </c>
      <c r="C96" s="32">
        <v>0.4995</v>
      </c>
    </row>
    <row r="97" spans="1:3" x14ac:dyDescent="0.75">
      <c r="A97" s="34">
        <v>67</v>
      </c>
      <c r="B97" s="30">
        <v>10.32</v>
      </c>
      <c r="C97" s="32">
        <v>0.19309999999999999</v>
      </c>
    </row>
    <row r="98" spans="1:3" x14ac:dyDescent="0.75">
      <c r="A98" s="34">
        <v>129</v>
      </c>
      <c r="B98" s="30">
        <v>9.25</v>
      </c>
      <c r="C98" s="32">
        <v>0.3982</v>
      </c>
    </row>
    <row r="99" spans="1:3" x14ac:dyDescent="0.75">
      <c r="A99" s="34">
        <v>82</v>
      </c>
      <c r="B99" s="30">
        <v>10.79</v>
      </c>
      <c r="C99" s="32">
        <v>0.38640000000000002</v>
      </c>
    </row>
    <row r="100" spans="1:3" x14ac:dyDescent="0.75">
      <c r="A100" s="34">
        <v>88</v>
      </c>
      <c r="B100" s="30">
        <v>10.32</v>
      </c>
      <c r="C100" s="32">
        <v>0.33200000000000002</v>
      </c>
    </row>
    <row r="101" spans="1:3" x14ac:dyDescent="0.75">
      <c r="A101" s="34">
        <v>143</v>
      </c>
      <c r="B101" s="30">
        <v>9.35</v>
      </c>
      <c r="C101" s="32">
        <v>0.56999999999999995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13</vt:i4>
      </vt:variant>
    </vt:vector>
  </HeadingPairs>
  <TitlesOfParts>
    <vt:vector size="15" baseType="lpstr">
      <vt:lpstr>Profit_Model</vt:lpstr>
      <vt:lpstr>Historical_Data</vt:lpstr>
      <vt:lpstr>_FC</vt:lpstr>
      <vt:lpstr>_P</vt:lpstr>
      <vt:lpstr>_Pr</vt:lpstr>
      <vt:lpstr>_QS</vt:lpstr>
      <vt:lpstr>_TC</vt:lpstr>
      <vt:lpstr>_TR</vt:lpstr>
      <vt:lpstr>_VC</vt:lpstr>
      <vt:lpstr>_VC_Percent</vt:lpstr>
      <vt:lpstr>headingrng</vt:lpstr>
      <vt:lpstr>rngxl</vt:lpstr>
      <vt:lpstr>rngxl2_</vt:lpstr>
      <vt:lpstr>rngxl3</vt:lpstr>
      <vt:lpstr>rngxlds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Noguera</dc:creator>
  <cp:lastModifiedBy>DS</cp:lastModifiedBy>
  <dcterms:created xsi:type="dcterms:W3CDTF">2011-08-26T10:00:28Z</dcterms:created>
  <dcterms:modified xsi:type="dcterms:W3CDTF">2022-01-05T04:11:51Z</dcterms:modified>
</cp:coreProperties>
</file>