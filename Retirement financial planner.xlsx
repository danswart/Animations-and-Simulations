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filterPrivacy="1" codeName="ThisWorkbook"/>
  <xr:revisionPtr revIDLastSave="0" documentId="13_ncr:1_{0E6A5222-744B-E943-913A-1D55F1D850D4}" xr6:coauthVersionLast="47" xr6:coauthVersionMax="47" xr10:uidLastSave="{00000000-0000-0000-0000-000000000000}"/>
  <bookViews>
    <workbookView xWindow="0" yWindow="500" windowWidth="32000" windowHeight="16480" activeTab="1" xr2:uid="{00000000-000D-0000-FFFF-FFFF00000000}"/>
  </bookViews>
  <sheets>
    <sheet name="Retirement planner" sheetId="6" r:id="rId1"/>
    <sheet name="Calculations" sheetId="5" r:id="rId2"/>
  </sheets>
  <definedNames>
    <definedName name="AfterRetirement">'Retirement planner'!$A1&gt;=DesiredRetirementAge</definedName>
    <definedName name="Age">IF(PlanYear&lt;=PlanYears,PlanYear-1+YourCurrentAge,NA())</definedName>
    <definedName name="AnnualPenionsBenefitsAtRetirement">'Retirement planner'!$F$6</definedName>
    <definedName name="AnnualPensionBenefitAfterRetirementIncreasesPercentage">'Retirement planner'!$F$7</definedName>
    <definedName name="AnnualPensionBenefitAmountUncertaintyPercentage">'Retirement planner'!$I$9</definedName>
    <definedName name="AnnualPensionCenefitIncreasesUncertaintyPercentage">'Retirement planner'!$I$10</definedName>
    <definedName name="AnnualSavingsAmountUncertaintyPercentage">'Retirement planner'!$I$7</definedName>
    <definedName name="AnnualSavingsIncreasesUncertaintyPercentage">'Retirement planner'!$I$8</definedName>
    <definedName name="Balance">IF(PlanYear&lt;=PlanYears,Calculations!$H1048576,NA())</definedName>
    <definedName name="Balance_Over">IF(PlanYear&lt;=PlanYears,Calculations!$T1048576,NA())</definedName>
    <definedName name="Balance_Under">IF(PlanYear&lt;=PlanYears,Calculations!$N1048576,NA())</definedName>
    <definedName name="BeforeRetirement">'Retirement planner'!$A1&lt;DesiredRetirementAge</definedName>
    <definedName name="ColumnTitleRegion1..I114.1">'Retirement planner'!$A$15</definedName>
    <definedName name="CurrentAnnualIncome">'Retirement planner'!$C$7</definedName>
    <definedName name="CurrentAnnualIncomeIncreasesPercentage">'Retirement planner'!$C$8</definedName>
    <definedName name="CurrentAnnualSavingsAmount">'Retirement planner'!$C$10</definedName>
    <definedName name="CurrentAnnualSavingsAmount_Over">CurrentAnnualSavingsAmount+CurrentAnnualSavingsAmount*AnnualSavingsAmountUncertaintyPercentage/2</definedName>
    <definedName name="CurrentAnnualSavingsAmount_Under">CurrentAnnualSavingsAmount-CurrentAnnualSavingsAmount*AnnualSavingsAmountUncertaintyPercentage/2</definedName>
    <definedName name="CurrentAnnualSavingsIncreasesPercentage">'Retirement planner'!$C$11</definedName>
    <definedName name="CurrentRetirementSavingsBalance">'Retirement planner'!$C$9</definedName>
    <definedName name="DesiredRetirementAge">'Retirement planner'!$F$8</definedName>
    <definedName name="DesiredRetirementIncome">IF(PlanYear&lt;=PlanYears,AfterRetirement*IncomeReplacementAtRetirementPercentage*CurrentAnnualIncome*(1+CurrentAnnualIncomeIncreasesPercentage)^(Calculations!$A1-Calculations!$A$16),NA())</definedName>
    <definedName name="EndBalance">IF(PlanYear&lt;=PlanYears,Calculations!XEZ1+Calculations!XFA1+Calculations!XFB1-Calculations!XFC1+Calculations!XFD1,NA())</definedName>
    <definedName name="IncomeReplacementAtRetirementPercentage">'Retirement planner'!$F$10</definedName>
    <definedName name="Interest">IF(PlanYear&lt;=PlanYears,(Calculations!XFD1*BeforeRetirement*InvestmentReturnPreRetirementPercentage)+(Calculations!XFD1*AfterRetirement*InvestmentReturnPostRetirementPercentage),NA())</definedName>
    <definedName name="Interest_Over">IF(PlanYear&lt;=PlanYears,(Calculations!XFD1*BeforeRetirement*(InvestmentReturnPreRetirementPercentage+InvestmentReturnUncertaintyPercentage/2))+(Calculations!XFD1*AfterRetirement*(InvestmentReturnPostRetirementPercentage+InvestmentReturnUncertaintyPercentage/2)),NA())</definedName>
    <definedName name="Interest_Under">IF(PlanYear&lt;=PlanYears,(Calculations!XFD1*BeforeRetirement*(InvestmentReturnPreRetirementPercentage-InvestmentReturnUncertaintyPercentage/2))+(Calculations!XFD1*AfterRetirement*(InvestmentReturnPostRetirementPercentage-InvestmentReturnUncertaintyPercentage/2)),NA())</definedName>
    <definedName name="InvestmentReturnPostRetirementPercentage">'Retirement planner'!$F$11</definedName>
    <definedName name="InvestmentReturnPreRetirementPercentage">'Retirement planner'!$C$12</definedName>
    <definedName name="InvestmentReturnUncertaintyPercentage">'Retirement planner'!$I$6</definedName>
    <definedName name="LastRow">COUNTIF('Retirement planner'!$A$15:$A$115,"&gt;1")+35</definedName>
    <definedName name="PensionIncome">IF(PlanYear&lt;=PlanYears,AfterRetirement*PensionIncomeInflated,NA())</definedName>
    <definedName name="PensionIncome_Over">IF(PlanYear&lt;=PlanYears,AfterRetirement*PensionIncomeInflated_Over,NA())</definedName>
    <definedName name="PensionIncome_Under">IF(PlanYear&lt;=PlanYears,AfterRetirement*PensionIncomeInflated_Under,NA())</definedName>
    <definedName name="PensionIncomeInflated">AnnualPenionsBenefitsAtRetirement*(1+AnnualPensionBenefitAfterRetirementIncreasesPercentage)^(Calculations!$A1-DesiredRetirementAge)</definedName>
    <definedName name="PensionIncomeInflated_Over">(AnnualPenionsBenefitsAtRetirement+AnnualPenionsBenefitsAtRetirement*AnnualPensionBenefitAmountUncertaintyPercentage/2)*(1+AnnualPensionBenefitAfterRetirementIncreasesPercentage+AnnualPensionCenefitIncreasesUncertaintyPercentage/2)^(Calculations!$A1-DesiredRetirementAge)</definedName>
    <definedName name="PensionIncomeInflated_Under">(AnnualPenionsBenefitsAtRetirement-AnnualPenionsBenefitsAtRetirement*AnnualPensionBenefitAmountUncertaintyPercentage/2)*(1+AnnualPensionBenefitAfterRetirementIncreasesPercentage-AnnualPensionCenefitIncreasesUncertaintyPercentage/2)^(Calculations!$A1-DesiredRetirementAge)</definedName>
    <definedName name="PlanYear">ROWS(Calculations!$A$16:$A1)</definedName>
    <definedName name="PlanYears">YearsOfRetirementIncome+(DesiredRetirementAge-YourCurrentAge)</definedName>
    <definedName name="Print_Area_Reset">OFFSET('Retirement planner'!$A$1:$J$115,0,0,LastRow)</definedName>
    <definedName name="_xlnm.Print_Titles" localSheetId="0">'Retirement planner'!$13:$15</definedName>
    <definedName name="ResultsDisplay_Failure">Calculations!$H$6</definedName>
    <definedName name="ResultsDisplay_Failure_1">Calculations!$H$9</definedName>
    <definedName name="ResultsDisplay_Failure_2">Calculations!$H$10</definedName>
    <definedName name="ResultsDisplay_Failure_3">Calculations!$H$11</definedName>
    <definedName name="ResultsDisplay_Failure_4">Calculations!$H$12</definedName>
    <definedName name="ResultsDisplay_Success">Calculations!$H$7</definedName>
    <definedName name="ResultsDisplay_Success_1">Calculations!$F$9</definedName>
    <definedName name="ResultsDisplay_Success_2">Calculations!$F$10</definedName>
    <definedName name="ResultsDisplay_Success_3">Calculations!$F$11</definedName>
    <definedName name="ResultsDisplay_Success_4">Calculations!$F$12</definedName>
    <definedName name="ResultsDisplay_Success_5">Calculations!$F$13</definedName>
    <definedName name="RowTitleRegion1..D12">'Retirement planner'!$A$6</definedName>
    <definedName name="RowTitleRegion2..G11">'Retirement planner'!$D$6</definedName>
    <definedName name="RowTitleRegion3..J10">'Retirement planner'!$G$6</definedName>
    <definedName name="Salary">IF(PlanYear&lt;=PlanYears,BeforeRetirement*(Calculations!$B1048576+Calculations!$B1048576*CurrentAnnualIncomeIncreasesPercentage),NA())</definedName>
    <definedName name="SavingsBalance_Disbursements">Calculations!$F$16:INDEX(Calculations!$F$16:$F$115,PlanYears)</definedName>
    <definedName name="SavingsBalance_RetiredPeriod">Calculations!$X$16:INDEX(Calculations!$X$16:$X$115,PlanYears)</definedName>
    <definedName name="SavingsBalance_WorkingPeriod">Calculations!$W$16:INDEX(Calculations!$W$16:$W$115,PlanYears)</definedName>
    <definedName name="Success">Calculations!$D$8</definedName>
    <definedName name="UncertaintyCone_Over">Calculations!$AA$16:INDEX(Calculations!$AA$16:$AA$115,PlanYears)</definedName>
    <definedName name="UncertaintyCone_Under">Calculations!$N$16:INDEX(Calculations!$N$16:$N$115,PlanYears)</definedName>
    <definedName name="YearlySavings">IF(PlanYear&lt;=PlanYears,BeforeRetirement*YearlySavingsInflated,NA())</definedName>
    <definedName name="YearlySavings_Over">IF(PlanYear&lt;=PlanYears,BeforeRetirement*YearlySavingsInflated_Over,NA())</definedName>
    <definedName name="YearlySavings_Under">IF(PlanYear&lt;=PlanYears,BeforeRetirement*YearlySavingsInflated_Under,NA())</definedName>
    <definedName name="YearlySavingsInflated">Calculations!$E1048576+Calculations!$E1048576*CurrentAnnualSavingsIncreasesPercentage</definedName>
    <definedName name="YearlySavingsInflated_Over">Calculations!$Q1048576+Calculations!$Q1048576*(CurrentAnnualSavingsIncreasesPercentage+AnnualSavingsIncreasesUncertaintyPercentage/2)</definedName>
    <definedName name="YearlySavingsInflated_Under">Calculations!$K1048576+Calculations!$K1048576*(CurrentAnnualSavingsIncreasesPercentage-AnnualSavingsIncreasesUncertaintyPercentage/2)</definedName>
    <definedName name="YearsOfRetirementIncome">'Retirement planner'!$F$9</definedName>
    <definedName name="YourCurrentAge">'Retirement planner'!$C$6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76" i="5" l="1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3" i="6" s="1"/>
  <c r="H94" i="5"/>
  <c r="H95" i="5"/>
  <c r="H96" i="5"/>
  <c r="H97" i="5"/>
  <c r="H98" i="5"/>
  <c r="H99" i="5"/>
  <c r="H99" i="6" s="1"/>
  <c r="H100" i="5"/>
  <c r="H101" i="5"/>
  <c r="H102" i="5"/>
  <c r="H103" i="5"/>
  <c r="H104" i="5"/>
  <c r="H105" i="5"/>
  <c r="H105" i="6" s="1"/>
  <c r="H106" i="5"/>
  <c r="H107" i="5"/>
  <c r="H108" i="5"/>
  <c r="H109" i="5"/>
  <c r="H110" i="5"/>
  <c r="H111" i="5"/>
  <c r="H111" i="6" s="1"/>
  <c r="H112" i="5"/>
  <c r="H113" i="5"/>
  <c r="H114" i="5"/>
  <c r="H115" i="5"/>
  <c r="G76" i="5"/>
  <c r="G77" i="5"/>
  <c r="G77" i="6" s="1"/>
  <c r="G78" i="5"/>
  <c r="G79" i="5"/>
  <c r="G80" i="5"/>
  <c r="G81" i="5"/>
  <c r="G82" i="5"/>
  <c r="G83" i="5"/>
  <c r="G83" i="6" s="1"/>
  <c r="G84" i="5"/>
  <c r="G85" i="5"/>
  <c r="G86" i="5"/>
  <c r="G87" i="5"/>
  <c r="G88" i="5"/>
  <c r="G89" i="5"/>
  <c r="G90" i="5"/>
  <c r="G91" i="5"/>
  <c r="G92" i="5"/>
  <c r="G93" i="5"/>
  <c r="G94" i="5"/>
  <c r="G95" i="5"/>
  <c r="G95" i="6" s="1"/>
  <c r="G96" i="5"/>
  <c r="G97" i="5"/>
  <c r="G98" i="5"/>
  <c r="G99" i="5"/>
  <c r="G100" i="5"/>
  <c r="G101" i="5"/>
  <c r="G102" i="5"/>
  <c r="G103" i="5"/>
  <c r="G104" i="5"/>
  <c r="G105" i="5"/>
  <c r="G106" i="5"/>
  <c r="G107" i="5"/>
  <c r="G107" i="6" s="1"/>
  <c r="G108" i="5"/>
  <c r="G109" i="5"/>
  <c r="G110" i="5"/>
  <c r="G111" i="5"/>
  <c r="G112" i="5"/>
  <c r="G113" i="5"/>
  <c r="G113" i="6" s="1"/>
  <c r="G114" i="5"/>
  <c r="G115" i="5"/>
  <c r="G115" i="6" s="1"/>
  <c r="F76" i="5"/>
  <c r="F77" i="5"/>
  <c r="F78" i="5"/>
  <c r="F79" i="5"/>
  <c r="F80" i="5"/>
  <c r="F81" i="5"/>
  <c r="F82" i="5"/>
  <c r="F83" i="5"/>
  <c r="F84" i="5"/>
  <c r="F85" i="5"/>
  <c r="F85" i="6" s="1"/>
  <c r="F86" i="5"/>
  <c r="F87" i="5"/>
  <c r="F88" i="5"/>
  <c r="F89" i="5"/>
  <c r="F90" i="5"/>
  <c r="F91" i="5"/>
  <c r="F91" i="6" s="1"/>
  <c r="F92" i="5"/>
  <c r="F93" i="5"/>
  <c r="F94" i="5"/>
  <c r="F95" i="5"/>
  <c r="F96" i="5"/>
  <c r="F97" i="5"/>
  <c r="F97" i="6" s="1"/>
  <c r="F98" i="5"/>
  <c r="F99" i="5"/>
  <c r="F100" i="5"/>
  <c r="F101" i="5"/>
  <c r="F101" i="6" s="1"/>
  <c r="F102" i="5"/>
  <c r="F103" i="5"/>
  <c r="F104" i="5"/>
  <c r="F105" i="5"/>
  <c r="F105" i="6" s="1"/>
  <c r="F106" i="5"/>
  <c r="F107" i="5"/>
  <c r="F107" i="6" s="1"/>
  <c r="F108" i="5"/>
  <c r="F109" i="5"/>
  <c r="F109" i="6" s="1"/>
  <c r="F110" i="5"/>
  <c r="F111" i="5"/>
  <c r="F112" i="5"/>
  <c r="F113" i="5"/>
  <c r="F113" i="6" s="1"/>
  <c r="F114" i="5"/>
  <c r="F11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3" i="6" s="1"/>
  <c r="E94" i="5"/>
  <c r="E94" i="6" s="1"/>
  <c r="E95" i="5"/>
  <c r="E96" i="5"/>
  <c r="E97" i="5"/>
  <c r="E98" i="5"/>
  <c r="E99" i="5"/>
  <c r="E99" i="6" s="1"/>
  <c r="E100" i="5"/>
  <c r="E100" i="6" s="1"/>
  <c r="E101" i="5"/>
  <c r="E102" i="5"/>
  <c r="E103" i="5"/>
  <c r="E103" i="6" s="1"/>
  <c r="E104" i="5"/>
  <c r="E105" i="5"/>
  <c r="E105" i="6" s="1"/>
  <c r="E106" i="5"/>
  <c r="E107" i="5"/>
  <c r="E108" i="5"/>
  <c r="E108" i="6" s="1"/>
  <c r="E109" i="5"/>
  <c r="E110" i="5"/>
  <c r="E111" i="5"/>
  <c r="E112" i="5"/>
  <c r="E112" i="6" s="1"/>
  <c r="E113" i="5"/>
  <c r="E114" i="5"/>
  <c r="E114" i="6" s="1"/>
  <c r="E115" i="5"/>
  <c r="E115" i="6" s="1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2" i="6" s="1"/>
  <c r="D93" i="5"/>
  <c r="D93" i="6" s="1"/>
  <c r="D94" i="5"/>
  <c r="D94" i="6" s="1"/>
  <c r="D95" i="5"/>
  <c r="D95" i="6" s="1"/>
  <c r="D96" i="5"/>
  <c r="D97" i="5"/>
  <c r="D97" i="6" s="1"/>
  <c r="D98" i="5"/>
  <c r="D98" i="6" s="1"/>
  <c r="D99" i="5"/>
  <c r="D99" i="6" s="1"/>
  <c r="D100" i="5"/>
  <c r="D100" i="6" s="1"/>
  <c r="D101" i="5"/>
  <c r="D101" i="6" s="1"/>
  <c r="D102" i="5"/>
  <c r="D102" i="6" s="1"/>
  <c r="D103" i="5"/>
  <c r="D103" i="6" s="1"/>
  <c r="D104" i="5"/>
  <c r="D104" i="6" s="1"/>
  <c r="D105" i="5"/>
  <c r="D105" i="6" s="1"/>
  <c r="D106" i="5"/>
  <c r="D106" i="6" s="1"/>
  <c r="D107" i="5"/>
  <c r="D107" i="6" s="1"/>
  <c r="D108" i="5"/>
  <c r="D108" i="6" s="1"/>
  <c r="D109" i="5"/>
  <c r="D110" i="5"/>
  <c r="D111" i="5"/>
  <c r="D111" i="6" s="1"/>
  <c r="D112" i="5"/>
  <c r="D112" i="6" s="1"/>
  <c r="D113" i="5"/>
  <c r="D113" i="6" s="1"/>
  <c r="D114" i="5"/>
  <c r="D114" i="6" s="1"/>
  <c r="D115" i="5"/>
  <c r="D115" i="6" s="1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1" i="6" s="1"/>
  <c r="C92" i="5"/>
  <c r="C92" i="6" s="1"/>
  <c r="C93" i="5"/>
  <c r="C93" i="6" s="1"/>
  <c r="C94" i="5"/>
  <c r="C94" i="6" s="1"/>
  <c r="C95" i="5"/>
  <c r="C95" i="6" s="1"/>
  <c r="C96" i="5"/>
  <c r="C96" i="6" s="1"/>
  <c r="C97" i="5"/>
  <c r="C97" i="6" s="1"/>
  <c r="C98" i="5"/>
  <c r="C98" i="6" s="1"/>
  <c r="C99" i="5"/>
  <c r="C99" i="6" s="1"/>
  <c r="C100" i="5"/>
  <c r="C100" i="6" s="1"/>
  <c r="C101" i="5"/>
  <c r="C101" i="6" s="1"/>
  <c r="C102" i="5"/>
  <c r="C102" i="6" s="1"/>
  <c r="C103" i="5"/>
  <c r="C103" i="6" s="1"/>
  <c r="C104" i="5"/>
  <c r="C104" i="6" s="1"/>
  <c r="C105" i="5"/>
  <c r="C105" i="6" s="1"/>
  <c r="C106" i="5"/>
  <c r="C106" i="6" s="1"/>
  <c r="C107" i="5"/>
  <c r="C107" i="6" s="1"/>
  <c r="C108" i="5"/>
  <c r="C108" i="6" s="1"/>
  <c r="C109" i="5"/>
  <c r="C109" i="6" s="1"/>
  <c r="C110" i="5"/>
  <c r="C110" i="6" s="1"/>
  <c r="C111" i="5"/>
  <c r="C111" i="6" s="1"/>
  <c r="C112" i="5"/>
  <c r="C112" i="6" s="1"/>
  <c r="C113" i="5"/>
  <c r="C113" i="6" s="1"/>
  <c r="C114" i="5"/>
  <c r="C114" i="6" s="1"/>
  <c r="C115" i="5"/>
  <c r="C115" i="6" s="1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1" i="6" s="1"/>
  <c r="B92" i="5"/>
  <c r="B92" i="6" s="1"/>
  <c r="B93" i="5"/>
  <c r="B93" i="6" s="1"/>
  <c r="B94" i="5"/>
  <c r="B95" i="5"/>
  <c r="B95" i="6" s="1"/>
  <c r="B96" i="5"/>
  <c r="B97" i="5"/>
  <c r="B97" i="6" s="1"/>
  <c r="B98" i="5"/>
  <c r="B98" i="6" s="1"/>
  <c r="B99" i="5"/>
  <c r="B99" i="6" s="1"/>
  <c r="B100" i="5"/>
  <c r="B100" i="6" s="1"/>
  <c r="B101" i="5"/>
  <c r="B101" i="6" s="1"/>
  <c r="B102" i="5"/>
  <c r="B102" i="6" s="1"/>
  <c r="B103" i="5"/>
  <c r="B103" i="6" s="1"/>
  <c r="B104" i="5"/>
  <c r="B104" i="6" s="1"/>
  <c r="B105" i="5"/>
  <c r="B105" i="6" s="1"/>
  <c r="B106" i="5"/>
  <c r="B106" i="6" s="1"/>
  <c r="B107" i="5"/>
  <c r="B107" i="6" s="1"/>
  <c r="B108" i="5"/>
  <c r="B108" i="6" s="1"/>
  <c r="B109" i="5"/>
  <c r="B109" i="6" s="1"/>
  <c r="B110" i="5"/>
  <c r="B110" i="6" s="1"/>
  <c r="B111" i="5"/>
  <c r="B111" i="6" s="1"/>
  <c r="B112" i="5"/>
  <c r="B113" i="5"/>
  <c r="B113" i="6" s="1"/>
  <c r="B114" i="5"/>
  <c r="B114" i="6" s="1"/>
  <c r="B115" i="5"/>
  <c r="B115" i="6" s="1"/>
  <c r="A17" i="5"/>
  <c r="A18" i="5"/>
  <c r="A18" i="6" s="1"/>
  <c r="G18" i="5" s="1"/>
  <c r="A19" i="5"/>
  <c r="A20" i="5"/>
  <c r="A20" i="6" s="1"/>
  <c r="A21" i="5"/>
  <c r="A22" i="5"/>
  <c r="X22" i="5" s="1"/>
  <c r="A23" i="5"/>
  <c r="A24" i="5"/>
  <c r="A25" i="5"/>
  <c r="A26" i="5"/>
  <c r="A27" i="5"/>
  <c r="A27" i="6" s="1"/>
  <c r="A28" i="5"/>
  <c r="X28" i="5" s="1"/>
  <c r="A29" i="5"/>
  <c r="A30" i="5"/>
  <c r="A31" i="5"/>
  <c r="A32" i="5"/>
  <c r="A33" i="5"/>
  <c r="A34" i="5"/>
  <c r="A35" i="5"/>
  <c r="A36" i="5"/>
  <c r="A37" i="5"/>
  <c r="A38" i="5"/>
  <c r="A39" i="5"/>
  <c r="A39" i="6" s="1"/>
  <c r="A40" i="5"/>
  <c r="A40" i="6" s="1"/>
  <c r="A41" i="5"/>
  <c r="A42" i="5"/>
  <c r="A42" i="6" s="1"/>
  <c r="A43" i="5"/>
  <c r="A44" i="5"/>
  <c r="A45" i="5"/>
  <c r="A46" i="5"/>
  <c r="A46" i="6" s="1"/>
  <c r="A47" i="5"/>
  <c r="A47" i="6" s="1"/>
  <c r="A48" i="5"/>
  <c r="A48" i="6" s="1"/>
  <c r="G48" i="5" s="1"/>
  <c r="A49" i="5"/>
  <c r="A50" i="5"/>
  <c r="A51" i="5"/>
  <c r="A52" i="5"/>
  <c r="A52" i="6" s="1"/>
  <c r="A53" i="5"/>
  <c r="A54" i="5"/>
  <c r="A55" i="5"/>
  <c r="A56" i="5"/>
  <c r="A57" i="5"/>
  <c r="A57" i="6" s="1"/>
  <c r="A58" i="5"/>
  <c r="A59" i="5"/>
  <c r="A60" i="5"/>
  <c r="A60" i="6" s="1"/>
  <c r="G60" i="5" s="1"/>
  <c r="A62" i="5"/>
  <c r="A63" i="5"/>
  <c r="A63" i="6" s="1"/>
  <c r="A64" i="5"/>
  <c r="A65" i="5"/>
  <c r="A65" i="6" s="1"/>
  <c r="A66" i="5"/>
  <c r="A66" i="6" s="1"/>
  <c r="A67" i="5"/>
  <c r="A67" i="6" s="1"/>
  <c r="A68" i="5"/>
  <c r="A69" i="5"/>
  <c r="A69" i="6" s="1"/>
  <c r="A70" i="5"/>
  <c r="A70" i="6" s="1"/>
  <c r="A71" i="5"/>
  <c r="A72" i="5"/>
  <c r="A72" i="6" s="1"/>
  <c r="A73" i="5"/>
  <c r="A73" i="6" s="1"/>
  <c r="M73" i="5" s="1"/>
  <c r="A74" i="5"/>
  <c r="A75" i="5"/>
  <c r="A76" i="5"/>
  <c r="A77" i="5"/>
  <c r="A77" i="6" s="1"/>
  <c r="A78" i="5"/>
  <c r="A78" i="6" s="1"/>
  <c r="A79" i="5"/>
  <c r="W79" i="5" s="1"/>
  <c r="A80" i="5"/>
  <c r="A81" i="5"/>
  <c r="A81" i="6" s="1"/>
  <c r="A82" i="5"/>
  <c r="A83" i="5"/>
  <c r="A83" i="6" s="1"/>
  <c r="A84" i="5"/>
  <c r="W84" i="5" s="1"/>
  <c r="A85" i="5"/>
  <c r="A85" i="6" s="1"/>
  <c r="A86" i="5"/>
  <c r="A87" i="5"/>
  <c r="A88" i="5"/>
  <c r="A88" i="6" s="1"/>
  <c r="G88" i="6" s="1"/>
  <c r="A89" i="5"/>
  <c r="W89" i="5" s="1"/>
  <c r="A90" i="5"/>
  <c r="A91" i="5"/>
  <c r="A91" i="6" s="1"/>
  <c r="A92" i="5"/>
  <c r="A93" i="5"/>
  <c r="A94" i="5"/>
  <c r="W94" i="5" s="1"/>
  <c r="A95" i="5"/>
  <c r="A95" i="6" s="1"/>
  <c r="A96" i="5"/>
  <c r="A96" i="6" s="1"/>
  <c r="A97" i="5"/>
  <c r="W97" i="5" s="1"/>
  <c r="A98" i="5"/>
  <c r="A99" i="5"/>
  <c r="A99" i="6" s="1"/>
  <c r="A100" i="5"/>
  <c r="A101" i="5"/>
  <c r="A102" i="5"/>
  <c r="A102" i="6" s="1"/>
  <c r="A103" i="5"/>
  <c r="A103" i="6" s="1"/>
  <c r="A104" i="5"/>
  <c r="A104" i="6" s="1"/>
  <c r="A105" i="5"/>
  <c r="A106" i="5"/>
  <c r="A106" i="6" s="1"/>
  <c r="A107" i="5"/>
  <c r="A108" i="5"/>
  <c r="A108" i="6" s="1"/>
  <c r="A109" i="5"/>
  <c r="A109" i="6" s="1"/>
  <c r="A110" i="5"/>
  <c r="A111" i="5"/>
  <c r="A111" i="6" s="1"/>
  <c r="A112" i="5"/>
  <c r="A113" i="5"/>
  <c r="A114" i="5"/>
  <c r="A114" i="6" s="1"/>
  <c r="A115" i="5"/>
  <c r="A61" i="5"/>
  <c r="B94" i="6"/>
  <c r="B96" i="6"/>
  <c r="B112" i="6"/>
  <c r="A16" i="5"/>
  <c r="B16" i="5"/>
  <c r="B16" i="6" s="1"/>
  <c r="A90" i="6"/>
  <c r="A100" i="6"/>
  <c r="E4" i="5"/>
  <c r="Q16" i="5"/>
  <c r="K16" i="5"/>
  <c r="O16" i="5"/>
  <c r="I16" i="5"/>
  <c r="H115" i="6"/>
  <c r="F115" i="6"/>
  <c r="H114" i="6"/>
  <c r="G114" i="6"/>
  <c r="F114" i="6"/>
  <c r="H113" i="6"/>
  <c r="E113" i="6"/>
  <c r="H112" i="6"/>
  <c r="G112" i="6"/>
  <c r="F112" i="6"/>
  <c r="G111" i="6"/>
  <c r="F111" i="6"/>
  <c r="E111" i="6"/>
  <c r="H110" i="6"/>
  <c r="G110" i="6"/>
  <c r="F110" i="6"/>
  <c r="E110" i="6"/>
  <c r="D110" i="6"/>
  <c r="A110" i="6"/>
  <c r="H109" i="6"/>
  <c r="G109" i="6"/>
  <c r="E109" i="6"/>
  <c r="D109" i="6"/>
  <c r="H108" i="6"/>
  <c r="G108" i="6"/>
  <c r="F108" i="6"/>
  <c r="H107" i="6"/>
  <c r="E107" i="6"/>
  <c r="H106" i="6"/>
  <c r="G106" i="6"/>
  <c r="F106" i="6"/>
  <c r="E106" i="6"/>
  <c r="G105" i="6"/>
  <c r="H104" i="6"/>
  <c r="G104" i="6"/>
  <c r="F104" i="6"/>
  <c r="E104" i="6"/>
  <c r="H103" i="6"/>
  <c r="G103" i="6"/>
  <c r="F103" i="6"/>
  <c r="H102" i="6"/>
  <c r="G102" i="6"/>
  <c r="F102" i="6"/>
  <c r="E102" i="6"/>
  <c r="H101" i="6"/>
  <c r="G101" i="6"/>
  <c r="E101" i="6"/>
  <c r="G99" i="6"/>
  <c r="G98" i="6"/>
  <c r="W98" i="5"/>
  <c r="G94" i="6"/>
  <c r="A93" i="6"/>
  <c r="G92" i="6"/>
  <c r="A92" i="6"/>
  <c r="G90" i="6"/>
  <c r="A87" i="6"/>
  <c r="A86" i="6"/>
  <c r="G86" i="6" s="1"/>
  <c r="A82" i="6"/>
  <c r="G82" i="6"/>
  <c r="W80" i="5"/>
  <c r="A76" i="6"/>
  <c r="W75" i="5"/>
  <c r="A74" i="6"/>
  <c r="A68" i="6"/>
  <c r="A62" i="6"/>
  <c r="S62" i="5" s="1"/>
  <c r="A61" i="6"/>
  <c r="A59" i="6"/>
  <c r="A58" i="6"/>
  <c r="A56" i="6"/>
  <c r="A55" i="6"/>
  <c r="A49" i="6"/>
  <c r="A43" i="6"/>
  <c r="G43" i="5" s="1"/>
  <c r="A41" i="6"/>
  <c r="A38" i="6"/>
  <c r="A35" i="6"/>
  <c r="A32" i="6"/>
  <c r="A31" i="6"/>
  <c r="X26" i="5"/>
  <c r="A25" i="6"/>
  <c r="A24" i="6"/>
  <c r="X23" i="5"/>
  <c r="A19" i="6"/>
  <c r="A17" i="6"/>
  <c r="E16" i="5"/>
  <c r="E16" i="6" s="1"/>
  <c r="C16" i="5"/>
  <c r="C16" i="6" s="1"/>
  <c r="F96" i="6"/>
  <c r="G97" i="6"/>
  <c r="F100" i="6"/>
  <c r="G96" i="6"/>
  <c r="F99" i="6"/>
  <c r="G100" i="6"/>
  <c r="F98" i="6"/>
  <c r="G81" i="6"/>
  <c r="F83" i="6"/>
  <c r="F87" i="6"/>
  <c r="F93" i="6"/>
  <c r="F95" i="6"/>
  <c r="F82" i="6"/>
  <c r="G85" i="6"/>
  <c r="F86" i="6"/>
  <c r="G87" i="6"/>
  <c r="F88" i="6"/>
  <c r="F90" i="6"/>
  <c r="G91" i="6"/>
  <c r="F92" i="6"/>
  <c r="G93" i="6"/>
  <c r="F94" i="6"/>
  <c r="G76" i="6"/>
  <c r="G78" i="6"/>
  <c r="F78" i="6"/>
  <c r="F81" i="6"/>
  <c r="F77" i="6"/>
  <c r="F76" i="6"/>
  <c r="E91" i="6"/>
  <c r="E92" i="6"/>
  <c r="E95" i="6"/>
  <c r="E96" i="6"/>
  <c r="E97" i="6"/>
  <c r="E98" i="6"/>
  <c r="D91" i="6"/>
  <c r="H91" i="6"/>
  <c r="H92" i="6"/>
  <c r="H94" i="6"/>
  <c r="H95" i="6"/>
  <c r="D96" i="6"/>
  <c r="H96" i="6"/>
  <c r="H97" i="6"/>
  <c r="H98" i="6"/>
  <c r="H100" i="6"/>
  <c r="F40" i="5" l="1"/>
  <c r="G42" i="5"/>
  <c r="S56" i="5"/>
  <c r="L68" i="5"/>
  <c r="G19" i="5"/>
  <c r="F32" i="5"/>
  <c r="F41" i="5"/>
  <c r="R74" i="5"/>
  <c r="R69" i="5"/>
  <c r="F58" i="5"/>
  <c r="F59" i="5"/>
  <c r="G25" i="5"/>
  <c r="G49" i="5"/>
  <c r="S61" i="5"/>
  <c r="G67" i="5"/>
  <c r="G67" i="6" s="1"/>
  <c r="S67" i="5"/>
  <c r="R67" i="5"/>
  <c r="F47" i="5"/>
  <c r="R47" i="5"/>
  <c r="S47" i="5"/>
  <c r="F70" i="5"/>
  <c r="F70" i="6" s="1"/>
  <c r="R70" i="5"/>
  <c r="S70" i="5"/>
  <c r="F57" i="5"/>
  <c r="R57" i="5"/>
  <c r="S57" i="5"/>
  <c r="F39" i="5"/>
  <c r="R39" i="5"/>
  <c r="S39" i="5"/>
  <c r="R63" i="5"/>
  <c r="S63" i="5"/>
  <c r="F20" i="5"/>
  <c r="R20" i="5"/>
  <c r="S20" i="5"/>
  <c r="F66" i="5"/>
  <c r="F66" i="6" s="1"/>
  <c r="S66" i="5"/>
  <c r="R66" i="5"/>
  <c r="R73" i="5"/>
  <c r="R61" i="5"/>
  <c r="R49" i="5"/>
  <c r="R43" i="5"/>
  <c r="R25" i="5"/>
  <c r="R19" i="5"/>
  <c r="S59" i="5"/>
  <c r="S41" i="5"/>
  <c r="F74" i="5"/>
  <c r="F74" i="6" s="1"/>
  <c r="L74" i="5"/>
  <c r="R60" i="5"/>
  <c r="R48" i="5"/>
  <c r="R42" i="5"/>
  <c r="R18" i="5"/>
  <c r="S58" i="5"/>
  <c r="S40" i="5"/>
  <c r="F73" i="5"/>
  <c r="L73" i="5"/>
  <c r="R59" i="5"/>
  <c r="R41" i="5"/>
  <c r="S69" i="5"/>
  <c r="R58" i="5"/>
  <c r="R40" i="5"/>
  <c r="S74" i="5"/>
  <c r="S68" i="5"/>
  <c r="S32" i="5"/>
  <c r="F56" i="5"/>
  <c r="G74" i="5"/>
  <c r="G74" i="6" s="1"/>
  <c r="M74" i="5"/>
  <c r="S73" i="5"/>
  <c r="S49" i="5"/>
  <c r="S43" i="5"/>
  <c r="S25" i="5"/>
  <c r="S19" i="5"/>
  <c r="F62" i="5"/>
  <c r="F62" i="6" s="1"/>
  <c r="G73" i="5"/>
  <c r="G73" i="6" s="1"/>
  <c r="R68" i="5"/>
  <c r="R62" i="5"/>
  <c r="R56" i="5"/>
  <c r="R32" i="5"/>
  <c r="S60" i="5"/>
  <c r="S48" i="5"/>
  <c r="S42" i="5"/>
  <c r="S18" i="5"/>
  <c r="L69" i="5"/>
  <c r="M69" i="5"/>
  <c r="L67" i="5"/>
  <c r="L61" i="5"/>
  <c r="L49" i="5"/>
  <c r="L43" i="5"/>
  <c r="L25" i="5"/>
  <c r="L19" i="5"/>
  <c r="M59" i="5"/>
  <c r="M47" i="5"/>
  <c r="M41" i="5"/>
  <c r="L66" i="5"/>
  <c r="L60" i="5"/>
  <c r="L48" i="5"/>
  <c r="L42" i="5"/>
  <c r="L18" i="5"/>
  <c r="M70" i="5"/>
  <c r="M58" i="5"/>
  <c r="M40" i="5"/>
  <c r="L59" i="5"/>
  <c r="L47" i="5"/>
  <c r="L41" i="5"/>
  <c r="M63" i="5"/>
  <c r="M57" i="5"/>
  <c r="M39" i="5"/>
  <c r="L70" i="5"/>
  <c r="L58" i="5"/>
  <c r="L40" i="5"/>
  <c r="M68" i="5"/>
  <c r="M62" i="5"/>
  <c r="M56" i="5"/>
  <c r="M32" i="5"/>
  <c r="M20" i="5"/>
  <c r="L63" i="5"/>
  <c r="L57" i="5"/>
  <c r="L39" i="5"/>
  <c r="M67" i="5"/>
  <c r="M61" i="5"/>
  <c r="M49" i="5"/>
  <c r="M43" i="5"/>
  <c r="M25" i="5"/>
  <c r="M19" i="5"/>
  <c r="L62" i="5"/>
  <c r="L56" i="5"/>
  <c r="L32" i="5"/>
  <c r="L20" i="5"/>
  <c r="M66" i="5"/>
  <c r="M60" i="5"/>
  <c r="M48" i="5"/>
  <c r="M42" i="5"/>
  <c r="M18" i="5"/>
  <c r="F67" i="5"/>
  <c r="F67" i="6" s="1"/>
  <c r="F61" i="5"/>
  <c r="F61" i="6" s="1"/>
  <c r="F49" i="5"/>
  <c r="F49" i="6" s="1"/>
  <c r="F43" i="5"/>
  <c r="F25" i="5"/>
  <c r="F25" i="6" s="1"/>
  <c r="F19" i="5"/>
  <c r="F19" i="6" s="1"/>
  <c r="G59" i="5"/>
  <c r="G47" i="5"/>
  <c r="G47" i="6" s="1"/>
  <c r="G41" i="5"/>
  <c r="F60" i="5"/>
  <c r="F60" i="6" s="1"/>
  <c r="F48" i="5"/>
  <c r="F48" i="6" s="1"/>
  <c r="F42" i="5"/>
  <c r="F42" i="6" s="1"/>
  <c r="F18" i="5"/>
  <c r="F18" i="6" s="1"/>
  <c r="G70" i="5"/>
  <c r="G70" i="6" s="1"/>
  <c r="G58" i="5"/>
  <c r="G58" i="6" s="1"/>
  <c r="G52" i="5"/>
  <c r="G46" i="5"/>
  <c r="G40" i="5"/>
  <c r="G69" i="5"/>
  <c r="G69" i="6" s="1"/>
  <c r="G63" i="5"/>
  <c r="G63" i="6" s="1"/>
  <c r="G57" i="5"/>
  <c r="G57" i="6" s="1"/>
  <c r="G39" i="5"/>
  <c r="G68" i="5"/>
  <c r="G68" i="6" s="1"/>
  <c r="G62" i="5"/>
  <c r="G62" i="6" s="1"/>
  <c r="G56" i="5"/>
  <c r="G56" i="6" s="1"/>
  <c r="G32" i="5"/>
  <c r="G32" i="6" s="1"/>
  <c r="G20" i="5"/>
  <c r="G20" i="6" s="1"/>
  <c r="F69" i="5"/>
  <c r="F69" i="6" s="1"/>
  <c r="F63" i="5"/>
  <c r="F63" i="6" s="1"/>
  <c r="G61" i="5"/>
  <c r="G61" i="6" s="1"/>
  <c r="F68" i="5"/>
  <c r="F68" i="6" s="1"/>
  <c r="G66" i="5"/>
  <c r="G66" i="6" s="1"/>
  <c r="X112" i="5"/>
  <c r="X115" i="5"/>
  <c r="X101" i="5"/>
  <c r="F73" i="6"/>
  <c r="X106" i="5"/>
  <c r="AA101" i="5"/>
  <c r="X95" i="5"/>
  <c r="G19" i="6"/>
  <c r="X111" i="5"/>
  <c r="X96" i="5"/>
  <c r="W81" i="5"/>
  <c r="AA105" i="5"/>
  <c r="W106" i="5"/>
  <c r="AA108" i="5"/>
  <c r="W83" i="5"/>
  <c r="W101" i="5"/>
  <c r="X17" i="5"/>
  <c r="A36" i="6"/>
  <c r="X91" i="5"/>
  <c r="A28" i="6"/>
  <c r="W91" i="5"/>
  <c r="W110" i="5"/>
  <c r="AA99" i="5"/>
  <c r="W87" i="5"/>
  <c r="A75" i="6"/>
  <c r="X109" i="5"/>
  <c r="W93" i="5"/>
  <c r="AA95" i="5"/>
  <c r="X19" i="5"/>
  <c r="W100" i="5"/>
  <c r="A30" i="6"/>
  <c r="S31" i="5" s="1"/>
  <c r="A23" i="6"/>
  <c r="G24" i="5" s="1"/>
  <c r="W99" i="5"/>
  <c r="A33" i="6"/>
  <c r="X24" i="5"/>
  <c r="W96" i="5"/>
  <c r="A22" i="6"/>
  <c r="X25" i="5"/>
  <c r="A34" i="6"/>
  <c r="M35" i="5" s="1"/>
  <c r="W73" i="5"/>
  <c r="W74" i="5"/>
  <c r="X99" i="5"/>
  <c r="W109" i="5"/>
  <c r="A26" i="6"/>
  <c r="S27" i="5" s="1"/>
  <c r="AA104" i="5"/>
  <c r="AA109" i="5"/>
  <c r="A50" i="6"/>
  <c r="AA98" i="5"/>
  <c r="X110" i="5"/>
  <c r="W103" i="5"/>
  <c r="A79" i="6"/>
  <c r="A97" i="6"/>
  <c r="AA113" i="5"/>
  <c r="A51" i="6"/>
  <c r="F52" i="5" s="1"/>
  <c r="W111" i="5"/>
  <c r="X92" i="5"/>
  <c r="AA94" i="5"/>
  <c r="AA91" i="5"/>
  <c r="X114" i="5"/>
  <c r="W114" i="5"/>
  <c r="W82" i="5"/>
  <c r="G41" i="6"/>
  <c r="X98" i="5"/>
  <c r="G43" i="6"/>
  <c r="W88" i="5"/>
  <c r="A112" i="6"/>
  <c r="X16" i="5"/>
  <c r="W92" i="5"/>
  <c r="A44" i="6"/>
  <c r="A101" i="6"/>
  <c r="AA112" i="5"/>
  <c r="X20" i="5"/>
  <c r="W95" i="5"/>
  <c r="W112" i="5"/>
  <c r="A64" i="6"/>
  <c r="L65" i="5" s="1"/>
  <c r="W77" i="5"/>
  <c r="X100" i="5"/>
  <c r="W85" i="5"/>
  <c r="A80" i="6"/>
  <c r="W76" i="5"/>
  <c r="AA97" i="5"/>
  <c r="X93" i="5"/>
  <c r="AA100" i="5"/>
  <c r="X97" i="5"/>
  <c r="X102" i="5"/>
  <c r="G39" i="6"/>
  <c r="G60" i="6"/>
  <c r="G18" i="6"/>
  <c r="AA93" i="5"/>
  <c r="W71" i="5"/>
  <c r="X18" i="5"/>
  <c r="X104" i="5"/>
  <c r="W108" i="5"/>
  <c r="W104" i="5"/>
  <c r="A84" i="6"/>
  <c r="A94" i="6"/>
  <c r="A98" i="6"/>
  <c r="A71" i="6"/>
  <c r="F72" i="5" s="1"/>
  <c r="F72" i="6" s="1"/>
  <c r="A89" i="6"/>
  <c r="A54" i="6"/>
  <c r="M55" i="5" s="1"/>
  <c r="X108" i="5"/>
  <c r="AA96" i="5"/>
  <c r="G42" i="6"/>
  <c r="X103" i="5"/>
  <c r="W90" i="5"/>
  <c r="W86" i="5"/>
  <c r="X94" i="5"/>
  <c r="AA92" i="5"/>
  <c r="W78" i="5"/>
  <c r="X27" i="5"/>
  <c r="W102" i="5"/>
  <c r="AA102" i="5"/>
  <c r="AA106" i="5"/>
  <c r="AA110" i="5"/>
  <c r="AA114" i="5"/>
  <c r="AA103" i="5"/>
  <c r="AA107" i="5"/>
  <c r="AA111" i="5"/>
  <c r="AA115" i="5"/>
  <c r="A45" i="6"/>
  <c r="S46" i="5" s="1"/>
  <c r="A21" i="6"/>
  <c r="X21" i="5"/>
  <c r="W72" i="5"/>
  <c r="A29" i="6"/>
  <c r="X29" i="5"/>
  <c r="A37" i="6"/>
  <c r="S38" i="5" s="1"/>
  <c r="F40" i="6"/>
  <c r="G40" i="6"/>
  <c r="A53" i="6"/>
  <c r="G49" i="6"/>
  <c r="G48" i="6"/>
  <c r="F56" i="6"/>
  <c r="A105" i="6"/>
  <c r="X105" i="5"/>
  <c r="W105" i="5"/>
  <c r="A113" i="6"/>
  <c r="W113" i="5"/>
  <c r="X113" i="5"/>
  <c r="G25" i="6"/>
  <c r="F58" i="6"/>
  <c r="W107" i="5"/>
  <c r="X107" i="5"/>
  <c r="A107" i="6"/>
  <c r="A115" i="6"/>
  <c r="W115" i="5"/>
  <c r="F57" i="6"/>
  <c r="A16" i="6"/>
  <c r="S17" i="5" s="1"/>
  <c r="F20" i="6"/>
  <c r="F39" i="6"/>
  <c r="F32" i="6"/>
  <c r="F47" i="6"/>
  <c r="F41" i="6"/>
  <c r="F43" i="6"/>
  <c r="F59" i="6"/>
  <c r="G59" i="6"/>
  <c r="E17" i="5" l="1"/>
  <c r="E18" i="5" s="1"/>
  <c r="E19" i="5" s="1"/>
  <c r="E20" i="5" s="1"/>
  <c r="F17" i="5"/>
  <c r="G35" i="5"/>
  <c r="G35" i="6" s="1"/>
  <c r="L35" i="5"/>
  <c r="M46" i="5"/>
  <c r="L31" i="5"/>
  <c r="R17" i="5"/>
  <c r="S35" i="5"/>
  <c r="R31" i="5"/>
  <c r="Q17" i="5"/>
  <c r="Q18" i="5" s="1"/>
  <c r="Q19" i="5" s="1"/>
  <c r="Q20" i="5" s="1"/>
  <c r="R27" i="5"/>
  <c r="R46" i="5"/>
  <c r="G27" i="5"/>
  <c r="F24" i="5"/>
  <c r="F31" i="5"/>
  <c r="F31" i="6" s="1"/>
  <c r="K17" i="5"/>
  <c r="K18" i="5" s="1"/>
  <c r="K19" i="5" s="1"/>
  <c r="K20" i="5" s="1"/>
  <c r="M27" i="5"/>
  <c r="M52" i="5"/>
  <c r="R52" i="5"/>
  <c r="S52" i="5"/>
  <c r="M72" i="5"/>
  <c r="F27" i="5"/>
  <c r="F46" i="5"/>
  <c r="R35" i="5"/>
  <c r="M24" i="5"/>
  <c r="M31" i="5"/>
  <c r="L27" i="5"/>
  <c r="R38" i="5"/>
  <c r="F35" i="5"/>
  <c r="F35" i="6" s="1"/>
  <c r="S55" i="5"/>
  <c r="F38" i="5"/>
  <c r="R72" i="5"/>
  <c r="G72" i="5"/>
  <c r="G72" i="6" s="1"/>
  <c r="B17" i="5"/>
  <c r="B18" i="5" s="1"/>
  <c r="B19" i="5" s="1"/>
  <c r="B20" i="5" s="1"/>
  <c r="G38" i="5"/>
  <c r="L38" i="5"/>
  <c r="L46" i="5"/>
  <c r="M65" i="5"/>
  <c r="L55" i="5"/>
  <c r="S24" i="5"/>
  <c r="L72" i="5"/>
  <c r="R65" i="5"/>
  <c r="S65" i="5"/>
  <c r="R55" i="5"/>
  <c r="S72" i="5"/>
  <c r="F65" i="5"/>
  <c r="F65" i="6" s="1"/>
  <c r="G31" i="5"/>
  <c r="G65" i="5"/>
  <c r="G65" i="6" s="1"/>
  <c r="F55" i="5"/>
  <c r="F55" i="6" s="1"/>
  <c r="M38" i="5"/>
  <c r="L52" i="5"/>
  <c r="M17" i="5"/>
  <c r="R24" i="5"/>
  <c r="G55" i="5"/>
  <c r="G17" i="5"/>
  <c r="L17" i="5"/>
  <c r="L24" i="5"/>
  <c r="R21" i="5"/>
  <c r="S21" i="5"/>
  <c r="R50" i="5"/>
  <c r="S50" i="5"/>
  <c r="R45" i="5"/>
  <c r="S45" i="5"/>
  <c r="R64" i="5"/>
  <c r="S64" i="5"/>
  <c r="R33" i="5"/>
  <c r="S33" i="5"/>
  <c r="R44" i="5"/>
  <c r="S44" i="5"/>
  <c r="R29" i="5"/>
  <c r="S29" i="5"/>
  <c r="S54" i="5"/>
  <c r="R54" i="5"/>
  <c r="R26" i="5"/>
  <c r="S26" i="5"/>
  <c r="R23" i="5"/>
  <c r="S23" i="5"/>
  <c r="R28" i="5"/>
  <c r="S28" i="5"/>
  <c r="S37" i="5"/>
  <c r="R37" i="5"/>
  <c r="R34" i="5"/>
  <c r="S34" i="5"/>
  <c r="R53" i="5"/>
  <c r="S53" i="5"/>
  <c r="S30" i="5"/>
  <c r="R30" i="5"/>
  <c r="K21" i="5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Q21" i="5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R22" i="5"/>
  <c r="S22" i="5"/>
  <c r="R75" i="5"/>
  <c r="M75" i="5"/>
  <c r="G75" i="5"/>
  <c r="G75" i="6" s="1"/>
  <c r="S75" i="5"/>
  <c r="L75" i="5"/>
  <c r="F75" i="5"/>
  <c r="F75" i="6" s="1"/>
  <c r="J16" i="5"/>
  <c r="R16" i="5"/>
  <c r="S16" i="5"/>
  <c r="P16" i="5"/>
  <c r="L71" i="5"/>
  <c r="F71" i="5"/>
  <c r="R71" i="5"/>
  <c r="M71" i="5"/>
  <c r="G71" i="5"/>
  <c r="G71" i="6" s="1"/>
  <c r="S71" i="5"/>
  <c r="R51" i="5"/>
  <c r="S51" i="5"/>
  <c r="S36" i="5"/>
  <c r="R36" i="5"/>
  <c r="L21" i="5"/>
  <c r="M21" i="5"/>
  <c r="L50" i="5"/>
  <c r="M50" i="5"/>
  <c r="L22" i="5"/>
  <c r="M22" i="5"/>
  <c r="M30" i="5"/>
  <c r="L30" i="5"/>
  <c r="L45" i="5"/>
  <c r="M45" i="5"/>
  <c r="M36" i="5"/>
  <c r="L36" i="5"/>
  <c r="L53" i="5"/>
  <c r="M53" i="5"/>
  <c r="L29" i="5"/>
  <c r="M29" i="5"/>
  <c r="E21" i="5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L16" i="5"/>
  <c r="M16" i="5"/>
  <c r="L64" i="5"/>
  <c r="M64" i="5"/>
  <c r="L44" i="5"/>
  <c r="M44" i="5"/>
  <c r="L51" i="5"/>
  <c r="M51" i="5"/>
  <c r="L34" i="5"/>
  <c r="M34" i="5"/>
  <c r="M37" i="5"/>
  <c r="L37" i="5"/>
  <c r="L33" i="5"/>
  <c r="M33" i="5"/>
  <c r="M54" i="5"/>
  <c r="L54" i="5"/>
  <c r="L26" i="5"/>
  <c r="M26" i="5"/>
  <c r="L23" i="5"/>
  <c r="M23" i="5"/>
  <c r="L28" i="5"/>
  <c r="M28" i="5"/>
  <c r="F53" i="5"/>
  <c r="G53" i="5"/>
  <c r="G53" i="6" s="1"/>
  <c r="F21" i="5"/>
  <c r="F21" i="6" s="1"/>
  <c r="G21" i="5"/>
  <c r="G21" i="6" s="1"/>
  <c r="G54" i="5"/>
  <c r="G54" i="6" s="1"/>
  <c r="F54" i="5"/>
  <c r="F54" i="6" s="1"/>
  <c r="G36" i="5"/>
  <c r="G36" i="6" s="1"/>
  <c r="F36" i="5"/>
  <c r="F36" i="6" s="1"/>
  <c r="G37" i="5"/>
  <c r="G37" i="6" s="1"/>
  <c r="F37" i="5"/>
  <c r="F37" i="6" s="1"/>
  <c r="F45" i="5"/>
  <c r="F45" i="6" s="1"/>
  <c r="G45" i="5"/>
  <c r="G45" i="6" s="1"/>
  <c r="F64" i="5"/>
  <c r="F64" i="6" s="1"/>
  <c r="G64" i="5"/>
  <c r="G64" i="6" s="1"/>
  <c r="F44" i="5"/>
  <c r="F44" i="6" s="1"/>
  <c r="G44" i="5"/>
  <c r="G44" i="6" s="1"/>
  <c r="F33" i="5"/>
  <c r="F33" i="6" s="1"/>
  <c r="G33" i="5"/>
  <c r="G33" i="6" s="1"/>
  <c r="F50" i="5"/>
  <c r="G50" i="5"/>
  <c r="G50" i="6" s="1"/>
  <c r="F34" i="5"/>
  <c r="F34" i="6" s="1"/>
  <c r="G34" i="5"/>
  <c r="G34" i="6" s="1"/>
  <c r="F26" i="5"/>
  <c r="F26" i="6" s="1"/>
  <c r="G26" i="5"/>
  <c r="G26" i="6" s="1"/>
  <c r="F23" i="5"/>
  <c r="F23" i="6" s="1"/>
  <c r="G23" i="5"/>
  <c r="G23" i="6" s="1"/>
  <c r="F28" i="5"/>
  <c r="F28" i="6" s="1"/>
  <c r="G28" i="5"/>
  <c r="G28" i="6" s="1"/>
  <c r="F16" i="5"/>
  <c r="F16" i="6" s="1"/>
  <c r="G16" i="5"/>
  <c r="G16" i="6" s="1"/>
  <c r="F29" i="5"/>
  <c r="F29" i="6" s="1"/>
  <c r="G29" i="5"/>
  <c r="G29" i="6" s="1"/>
  <c r="F51" i="5"/>
  <c r="F51" i="6" s="1"/>
  <c r="G51" i="5"/>
  <c r="G51" i="6" s="1"/>
  <c r="F22" i="5"/>
  <c r="F22" i="6" s="1"/>
  <c r="G22" i="5"/>
  <c r="G22" i="6" s="1"/>
  <c r="G30" i="5"/>
  <c r="G30" i="6" s="1"/>
  <c r="F30" i="5"/>
  <c r="F30" i="6" s="1"/>
  <c r="B21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D16" i="5"/>
  <c r="G24" i="6"/>
  <c r="F27" i="6"/>
  <c r="G27" i="6"/>
  <c r="F24" i="6"/>
  <c r="G31" i="6"/>
  <c r="F84" i="6"/>
  <c r="G84" i="6"/>
  <c r="F79" i="6"/>
  <c r="G79" i="6"/>
  <c r="F89" i="6"/>
  <c r="G89" i="6"/>
  <c r="F71" i="6"/>
  <c r="F80" i="6"/>
  <c r="G80" i="6"/>
  <c r="G38" i="6"/>
  <c r="F38" i="6"/>
  <c r="G52" i="6"/>
  <c r="F52" i="6"/>
  <c r="F50" i="6"/>
  <c r="G46" i="6"/>
  <c r="F17" i="6"/>
  <c r="G55" i="6"/>
  <c r="F46" i="6"/>
  <c r="G17" i="6"/>
  <c r="F53" i="6"/>
  <c r="N16" i="5" l="1"/>
  <c r="T16" i="5"/>
  <c r="H16" i="5"/>
  <c r="E17" i="6"/>
  <c r="B17" i="6"/>
  <c r="O17" i="5"/>
  <c r="I17" i="5"/>
  <c r="D16" i="6"/>
  <c r="C17" i="5"/>
  <c r="E18" i="6"/>
  <c r="P17" i="5" l="1"/>
  <c r="T17" i="5" s="1"/>
  <c r="O18" i="5" s="1"/>
  <c r="J17" i="5"/>
  <c r="N17" i="5" s="1"/>
  <c r="I18" i="5" s="1"/>
  <c r="D17" i="5"/>
  <c r="H17" i="5" s="1"/>
  <c r="B18" i="6"/>
  <c r="W16" i="5"/>
  <c r="H16" i="6"/>
  <c r="E19" i="6"/>
  <c r="AA16" i="5"/>
  <c r="P18" i="5" l="1"/>
  <c r="T18" i="5" s="1"/>
  <c r="J18" i="5"/>
  <c r="N18" i="5" s="1"/>
  <c r="I19" i="5" s="1"/>
  <c r="B19" i="6"/>
  <c r="AA17" i="5"/>
  <c r="C17" i="6"/>
  <c r="D17" i="6"/>
  <c r="E20" i="6"/>
  <c r="J19" i="5" l="1"/>
  <c r="N19" i="5" s="1"/>
  <c r="I20" i="5" s="1"/>
  <c r="B20" i="6"/>
  <c r="O19" i="5"/>
  <c r="C18" i="5"/>
  <c r="E21" i="6"/>
  <c r="P19" i="5" l="1"/>
  <c r="T19" i="5" s="1"/>
  <c r="J20" i="5"/>
  <c r="N20" i="5" s="1"/>
  <c r="I21" i="5" s="1"/>
  <c r="D18" i="5"/>
  <c r="H18" i="5" s="1"/>
  <c r="B21" i="6"/>
  <c r="W17" i="5"/>
  <c r="H17" i="6"/>
  <c r="AA18" i="5"/>
  <c r="E22" i="6"/>
  <c r="J21" i="5" l="1"/>
  <c r="N21" i="5" s="1"/>
  <c r="I22" i="5" s="1"/>
  <c r="B22" i="6"/>
  <c r="C18" i="6"/>
  <c r="D18" i="6"/>
  <c r="E23" i="6"/>
  <c r="O20" i="5"/>
  <c r="P20" i="5" l="1"/>
  <c r="T20" i="5" s="1"/>
  <c r="J22" i="5"/>
  <c r="N22" i="5" s="1"/>
  <c r="I23" i="5" s="1"/>
  <c r="B23" i="6"/>
  <c r="AA19" i="5"/>
  <c r="C19" i="5"/>
  <c r="E24" i="6"/>
  <c r="J23" i="5" l="1"/>
  <c r="N23" i="5" s="1"/>
  <c r="I24" i="5" s="1"/>
  <c r="D19" i="5"/>
  <c r="H19" i="5" s="1"/>
  <c r="B24" i="6"/>
  <c r="O21" i="5"/>
  <c r="W18" i="5"/>
  <c r="H18" i="6"/>
  <c r="E25" i="6"/>
  <c r="P21" i="5" l="1"/>
  <c r="T21" i="5" s="1"/>
  <c r="J24" i="5"/>
  <c r="N24" i="5" s="1"/>
  <c r="I25" i="5" s="1"/>
  <c r="B25" i="6"/>
  <c r="AA20" i="5"/>
  <c r="C19" i="6"/>
  <c r="D19" i="6"/>
  <c r="E26" i="6"/>
  <c r="J25" i="5" l="1"/>
  <c r="N25" i="5" s="1"/>
  <c r="I26" i="5" s="1"/>
  <c r="B26" i="6"/>
  <c r="C20" i="5"/>
  <c r="O22" i="5"/>
  <c r="E27" i="6"/>
  <c r="P22" i="5" l="1"/>
  <c r="T22" i="5" s="1"/>
  <c r="J26" i="5"/>
  <c r="N26" i="5" s="1"/>
  <c r="I27" i="5" s="1"/>
  <c r="D20" i="5"/>
  <c r="H20" i="5" s="1"/>
  <c r="B27" i="6"/>
  <c r="AA21" i="5"/>
  <c r="E28" i="6"/>
  <c r="H19" i="6"/>
  <c r="W19" i="5"/>
  <c r="J27" i="5" l="1"/>
  <c r="N27" i="5" s="1"/>
  <c r="I28" i="5" s="1"/>
  <c r="B28" i="6"/>
  <c r="O23" i="5"/>
  <c r="E29" i="6"/>
  <c r="C20" i="6"/>
  <c r="D20" i="6"/>
  <c r="P23" i="5" l="1"/>
  <c r="T23" i="5" s="1"/>
  <c r="J28" i="5"/>
  <c r="N28" i="5" s="1"/>
  <c r="I29" i="5" s="1"/>
  <c r="B29" i="6"/>
  <c r="E30" i="6"/>
  <c r="AA22" i="5"/>
  <c r="J29" i="5" l="1"/>
  <c r="N29" i="5" s="1"/>
  <c r="I30" i="5" s="1"/>
  <c r="W20" i="5"/>
  <c r="C21" i="5"/>
  <c r="H20" i="6"/>
  <c r="B30" i="6"/>
  <c r="O24" i="5"/>
  <c r="E31" i="6"/>
  <c r="P24" i="5" l="1"/>
  <c r="T24" i="5" s="1"/>
  <c r="J30" i="5"/>
  <c r="N30" i="5" s="1"/>
  <c r="I31" i="5" s="1"/>
  <c r="C21" i="6"/>
  <c r="D21" i="5"/>
  <c r="D21" i="6" s="1"/>
  <c r="B31" i="6"/>
  <c r="AA23" i="5"/>
  <c r="E32" i="6"/>
  <c r="J31" i="5" l="1"/>
  <c r="N31" i="5" s="1"/>
  <c r="I32" i="5" s="1"/>
  <c r="H21" i="5"/>
  <c r="B32" i="6"/>
  <c r="E33" i="6"/>
  <c r="O25" i="5"/>
  <c r="P25" i="5" l="1"/>
  <c r="T25" i="5" s="1"/>
  <c r="J32" i="5"/>
  <c r="N32" i="5" s="1"/>
  <c r="I33" i="5" s="1"/>
  <c r="H21" i="6"/>
  <c r="C22" i="5"/>
  <c r="W21" i="5"/>
  <c r="B33" i="6"/>
  <c r="AA24" i="5"/>
  <c r="E34" i="6"/>
  <c r="J33" i="5" l="1"/>
  <c r="N33" i="5" s="1"/>
  <c r="I34" i="5" s="1"/>
  <c r="D22" i="5"/>
  <c r="H22" i="5" s="1"/>
  <c r="C22" i="6"/>
  <c r="B34" i="6"/>
  <c r="O26" i="5"/>
  <c r="E35" i="6"/>
  <c r="P26" i="5" l="1"/>
  <c r="T26" i="5" s="1"/>
  <c r="J34" i="5"/>
  <c r="N34" i="5" s="1"/>
  <c r="I35" i="5" s="1"/>
  <c r="D22" i="6"/>
  <c r="B35" i="6"/>
  <c r="AA25" i="5"/>
  <c r="E36" i="6"/>
  <c r="J35" i="5" l="1"/>
  <c r="N35" i="5" s="1"/>
  <c r="I36" i="5" s="1"/>
  <c r="H22" i="6"/>
  <c r="C23" i="5"/>
  <c r="W22" i="5"/>
  <c r="B36" i="6"/>
  <c r="O27" i="5"/>
  <c r="E37" i="6"/>
  <c r="P27" i="5" l="1"/>
  <c r="T27" i="5" s="1"/>
  <c r="J36" i="5"/>
  <c r="N36" i="5" s="1"/>
  <c r="I37" i="5" s="1"/>
  <c r="C23" i="6"/>
  <c r="D23" i="5"/>
  <c r="D23" i="6" s="1"/>
  <c r="B37" i="6"/>
  <c r="AA26" i="5"/>
  <c r="E38" i="6"/>
  <c r="J37" i="5" l="1"/>
  <c r="N37" i="5" s="1"/>
  <c r="I38" i="5" s="1"/>
  <c r="H23" i="5"/>
  <c r="C24" i="5" s="1"/>
  <c r="B38" i="6"/>
  <c r="O28" i="5"/>
  <c r="E39" i="6"/>
  <c r="P28" i="5" l="1"/>
  <c r="T28" i="5" s="1"/>
  <c r="J38" i="5"/>
  <c r="N38" i="5" s="1"/>
  <c r="I39" i="5" s="1"/>
  <c r="D24" i="5"/>
  <c r="H24" i="5" s="1"/>
  <c r="W23" i="5"/>
  <c r="H23" i="6"/>
  <c r="B39" i="6"/>
  <c r="AA27" i="5"/>
  <c r="C24" i="6"/>
  <c r="E40" i="6"/>
  <c r="J39" i="5" l="1"/>
  <c r="N39" i="5" s="1"/>
  <c r="I40" i="5" s="1"/>
  <c r="D24" i="6"/>
  <c r="B40" i="6"/>
  <c r="E41" i="6"/>
  <c r="C25" i="5"/>
  <c r="O29" i="5"/>
  <c r="P29" i="5" l="1"/>
  <c r="T29" i="5" s="1"/>
  <c r="J40" i="5"/>
  <c r="N40" i="5" s="1"/>
  <c r="I41" i="5" s="1"/>
  <c r="D25" i="5"/>
  <c r="H25" i="5" s="1"/>
  <c r="B41" i="6"/>
  <c r="AA28" i="5"/>
  <c r="W24" i="5"/>
  <c r="H24" i="6"/>
  <c r="E42" i="6"/>
  <c r="J41" i="5" l="1"/>
  <c r="N41" i="5" s="1"/>
  <c r="I42" i="5" s="1"/>
  <c r="B42" i="6"/>
  <c r="D25" i="6"/>
  <c r="C25" i="6"/>
  <c r="E43" i="6"/>
  <c r="O30" i="5"/>
  <c r="P30" i="5" l="1"/>
  <c r="T30" i="5" s="1"/>
  <c r="J42" i="5"/>
  <c r="N42" i="5" s="1"/>
  <c r="I43" i="5" s="1"/>
  <c r="B43" i="6"/>
  <c r="E44" i="6"/>
  <c r="C26" i="5"/>
  <c r="AA29" i="5"/>
  <c r="J43" i="5" l="1"/>
  <c r="N43" i="5" s="1"/>
  <c r="I44" i="5" s="1"/>
  <c r="D26" i="5"/>
  <c r="H26" i="5" s="1"/>
  <c r="B44" i="6"/>
  <c r="O31" i="5"/>
  <c r="W25" i="5"/>
  <c r="H25" i="6"/>
  <c r="E45" i="6"/>
  <c r="P31" i="5" l="1"/>
  <c r="T31" i="5" s="1"/>
  <c r="J44" i="5"/>
  <c r="N44" i="5" s="1"/>
  <c r="I45" i="5" s="1"/>
  <c r="B45" i="6"/>
  <c r="AA30" i="5"/>
  <c r="E46" i="6"/>
  <c r="C26" i="6"/>
  <c r="D26" i="6"/>
  <c r="J45" i="5" l="1"/>
  <c r="N45" i="5" s="1"/>
  <c r="I46" i="5" s="1"/>
  <c r="B46" i="6"/>
  <c r="E47" i="6"/>
  <c r="O32" i="5"/>
  <c r="P32" i="5" l="1"/>
  <c r="T32" i="5" s="1"/>
  <c r="J46" i="5"/>
  <c r="N46" i="5" s="1"/>
  <c r="I47" i="5" s="1"/>
  <c r="H26" i="6"/>
  <c r="C27" i="5"/>
  <c r="W26" i="5"/>
  <c r="B47" i="6"/>
  <c r="AA31" i="5"/>
  <c r="E48" i="6"/>
  <c r="J47" i="5" l="1"/>
  <c r="N47" i="5" s="1"/>
  <c r="I48" i="5" s="1"/>
  <c r="C27" i="6"/>
  <c r="D27" i="5"/>
  <c r="B48" i="6"/>
  <c r="E49" i="6"/>
  <c r="O33" i="5"/>
  <c r="P33" i="5" l="1"/>
  <c r="T33" i="5" s="1"/>
  <c r="J48" i="5"/>
  <c r="N48" i="5" s="1"/>
  <c r="I49" i="5" s="1"/>
  <c r="H27" i="5"/>
  <c r="C28" i="5" s="1"/>
  <c r="D27" i="6"/>
  <c r="B49" i="6"/>
  <c r="AA32" i="5"/>
  <c r="E50" i="6"/>
  <c r="J49" i="5" l="1"/>
  <c r="N49" i="5" s="1"/>
  <c r="I50" i="5" s="1"/>
  <c r="D28" i="5"/>
  <c r="D28" i="6" s="1"/>
  <c r="W27" i="5"/>
  <c r="H27" i="6"/>
  <c r="B50" i="6"/>
  <c r="E51" i="6"/>
  <c r="C28" i="6"/>
  <c r="O34" i="5"/>
  <c r="H28" i="5" l="1"/>
  <c r="P34" i="5"/>
  <c r="T34" i="5" s="1"/>
  <c r="J50" i="5"/>
  <c r="N50" i="5" s="1"/>
  <c r="I51" i="5" s="1"/>
  <c r="B51" i="6"/>
  <c r="E52" i="6"/>
  <c r="AA33" i="5"/>
  <c r="C29" i="5"/>
  <c r="J51" i="5" l="1"/>
  <c r="N51" i="5" s="1"/>
  <c r="I52" i="5" s="1"/>
  <c r="D29" i="5"/>
  <c r="H29" i="5" s="1"/>
  <c r="B52" i="6"/>
  <c r="W28" i="5"/>
  <c r="H28" i="6"/>
  <c r="E53" i="6"/>
  <c r="O35" i="5"/>
  <c r="P35" i="5" l="1"/>
  <c r="T35" i="5" s="1"/>
  <c r="J52" i="5"/>
  <c r="N52" i="5" s="1"/>
  <c r="I53" i="5" s="1"/>
  <c r="B53" i="6"/>
  <c r="AA34" i="5"/>
  <c r="C29" i="6"/>
  <c r="D29" i="6"/>
  <c r="E54" i="6"/>
  <c r="J53" i="5" l="1"/>
  <c r="N53" i="5" s="1"/>
  <c r="I54" i="5" s="1"/>
  <c r="B54" i="6"/>
  <c r="O36" i="5"/>
  <c r="C30" i="5"/>
  <c r="E55" i="6"/>
  <c r="P36" i="5" l="1"/>
  <c r="T36" i="5" s="1"/>
  <c r="J54" i="5"/>
  <c r="N54" i="5" s="1"/>
  <c r="I55" i="5" s="1"/>
  <c r="D30" i="5"/>
  <c r="H30" i="5" s="1"/>
  <c r="B55" i="6"/>
  <c r="AA35" i="5"/>
  <c r="E56" i="6"/>
  <c r="H29" i="6"/>
  <c r="W29" i="5"/>
  <c r="J55" i="5" l="1"/>
  <c r="N55" i="5" s="1"/>
  <c r="I56" i="5" s="1"/>
  <c r="B56" i="6"/>
  <c r="O37" i="5"/>
  <c r="E57" i="6"/>
  <c r="D30" i="6"/>
  <c r="C30" i="6"/>
  <c r="P37" i="5" l="1"/>
  <c r="T37" i="5" s="1"/>
  <c r="J56" i="5"/>
  <c r="N56" i="5" s="1"/>
  <c r="I57" i="5" s="1"/>
  <c r="B57" i="6"/>
  <c r="AA36" i="5"/>
  <c r="E58" i="6"/>
  <c r="J57" i="5" l="1"/>
  <c r="N57" i="5" s="1"/>
  <c r="I58" i="5" s="1"/>
  <c r="X30" i="5"/>
  <c r="C31" i="5"/>
  <c r="B58" i="6"/>
  <c r="E59" i="6"/>
  <c r="H30" i="6"/>
  <c r="W30" i="5"/>
  <c r="O38" i="5"/>
  <c r="P38" i="5" l="1"/>
  <c r="T38" i="5" s="1"/>
  <c r="J58" i="5"/>
  <c r="N58" i="5" s="1"/>
  <c r="I59" i="5" s="1"/>
  <c r="D31" i="5"/>
  <c r="H31" i="5" s="1"/>
  <c r="E60" i="6"/>
  <c r="B59" i="6"/>
  <c r="AA37" i="5"/>
  <c r="C31" i="6"/>
  <c r="D31" i="6" l="1"/>
  <c r="J59" i="5"/>
  <c r="N59" i="5" s="1"/>
  <c r="I60" i="5" s="1"/>
  <c r="B60" i="6"/>
  <c r="E61" i="6"/>
  <c r="O39" i="5"/>
  <c r="P39" i="5" l="1"/>
  <c r="T39" i="5" s="1"/>
  <c r="J60" i="5"/>
  <c r="N60" i="5" s="1"/>
  <c r="I61" i="5" s="1"/>
  <c r="X31" i="5"/>
  <c r="C32" i="5"/>
  <c r="E62" i="6"/>
  <c r="B61" i="6"/>
  <c r="AA38" i="5"/>
  <c r="H31" i="6"/>
  <c r="W31" i="5"/>
  <c r="J61" i="5" l="1"/>
  <c r="N61" i="5" s="1"/>
  <c r="I62" i="5" s="1"/>
  <c r="D32" i="5"/>
  <c r="H32" i="5" s="1"/>
  <c r="E63" i="6"/>
  <c r="B62" i="6"/>
  <c r="C32" i="6"/>
  <c r="O40" i="5"/>
  <c r="P40" i="5" l="1"/>
  <c r="T40" i="5" s="1"/>
  <c r="D32" i="6"/>
  <c r="J62" i="5"/>
  <c r="N62" i="5" s="1"/>
  <c r="I63" i="5" s="1"/>
  <c r="E64" i="6"/>
  <c r="B63" i="6"/>
  <c r="AA39" i="5"/>
  <c r="J63" i="5" l="1"/>
  <c r="N63" i="5" s="1"/>
  <c r="I64" i="5" s="1"/>
  <c r="X32" i="5"/>
  <c r="C33" i="5"/>
  <c r="E65" i="6"/>
  <c r="B64" i="6"/>
  <c r="W32" i="5"/>
  <c r="H32" i="6"/>
  <c r="O41" i="5"/>
  <c r="P41" i="5" l="1"/>
  <c r="T41" i="5" s="1"/>
  <c r="J64" i="5"/>
  <c r="N64" i="5" s="1"/>
  <c r="I65" i="5" s="1"/>
  <c r="D33" i="5"/>
  <c r="H33" i="5" s="1"/>
  <c r="E66" i="6"/>
  <c r="B65" i="6"/>
  <c r="AA40" i="5"/>
  <c r="C33" i="6"/>
  <c r="D33" i="6" l="1"/>
  <c r="J65" i="5"/>
  <c r="N65" i="5" s="1"/>
  <c r="I66" i="5" s="1"/>
  <c r="E67" i="6"/>
  <c r="B66" i="6"/>
  <c r="O42" i="5"/>
  <c r="P42" i="5" l="1"/>
  <c r="T42" i="5" s="1"/>
  <c r="J66" i="5"/>
  <c r="N66" i="5" s="1"/>
  <c r="I67" i="5" s="1"/>
  <c r="X33" i="5"/>
  <c r="C34" i="5"/>
  <c r="B67" i="6"/>
  <c r="E68" i="6"/>
  <c r="AA41" i="5"/>
  <c r="H33" i="6"/>
  <c r="W33" i="5"/>
  <c r="J67" i="5" l="1"/>
  <c r="N67" i="5" s="1"/>
  <c r="I68" i="5" s="1"/>
  <c r="D34" i="5"/>
  <c r="H34" i="5" s="1"/>
  <c r="B68" i="6"/>
  <c r="E69" i="6"/>
  <c r="C34" i="6"/>
  <c r="O43" i="5"/>
  <c r="P43" i="5" l="1"/>
  <c r="T43" i="5" s="1"/>
  <c r="D34" i="6"/>
  <c r="J68" i="5"/>
  <c r="N68" i="5" s="1"/>
  <c r="I69" i="5" s="1"/>
  <c r="B69" i="6"/>
  <c r="E70" i="6"/>
  <c r="AA42" i="5"/>
  <c r="J69" i="5" l="1"/>
  <c r="N69" i="5" s="1"/>
  <c r="I70" i="5" s="1"/>
  <c r="X34" i="5"/>
  <c r="C35" i="5"/>
  <c r="E71" i="6"/>
  <c r="B70" i="6"/>
  <c r="O44" i="5"/>
  <c r="H34" i="6"/>
  <c r="W34" i="5"/>
  <c r="P44" i="5" l="1"/>
  <c r="T44" i="5" s="1"/>
  <c r="J70" i="5"/>
  <c r="N70" i="5" s="1"/>
  <c r="I71" i="5" s="1"/>
  <c r="D35" i="5"/>
  <c r="D35" i="6" s="1"/>
  <c r="E72" i="6"/>
  <c r="B71" i="6"/>
  <c r="AA43" i="5"/>
  <c r="C35" i="6"/>
  <c r="J71" i="5" l="1"/>
  <c r="N71" i="5" s="1"/>
  <c r="I72" i="5" s="1"/>
  <c r="H35" i="5"/>
  <c r="B72" i="6"/>
  <c r="E73" i="6"/>
  <c r="O45" i="5"/>
  <c r="J72" i="5" l="1"/>
  <c r="N72" i="5" s="1"/>
  <c r="I73" i="5" s="1"/>
  <c r="P45" i="5"/>
  <c r="T45" i="5" s="1"/>
  <c r="X35" i="5"/>
  <c r="C36" i="5"/>
  <c r="B73" i="6"/>
  <c r="E74" i="6"/>
  <c r="AA44" i="5"/>
  <c r="H35" i="6"/>
  <c r="W35" i="5"/>
  <c r="J73" i="5" l="1"/>
  <c r="N73" i="5" s="1"/>
  <c r="I74" i="5" s="1"/>
  <c r="D36" i="5"/>
  <c r="D36" i="6" s="1"/>
  <c r="E75" i="6"/>
  <c r="B74" i="6"/>
  <c r="C36" i="6"/>
  <c r="O46" i="5"/>
  <c r="H36" i="5" l="1"/>
  <c r="J74" i="5"/>
  <c r="N74" i="5" s="1"/>
  <c r="I75" i="5" s="1"/>
  <c r="P46" i="5"/>
  <c r="T46" i="5" s="1"/>
  <c r="E76" i="6"/>
  <c r="B75" i="6"/>
  <c r="AA45" i="5"/>
  <c r="J75" i="5" l="1"/>
  <c r="N75" i="5" s="1"/>
  <c r="X36" i="5"/>
  <c r="C37" i="5"/>
  <c r="E77" i="6"/>
  <c r="B76" i="6"/>
  <c r="H36" i="6"/>
  <c r="W36" i="5"/>
  <c r="O47" i="5"/>
  <c r="P47" i="5" l="1"/>
  <c r="T47" i="5" s="1"/>
  <c r="D37" i="5"/>
  <c r="D37" i="6" s="1"/>
  <c r="E78" i="6"/>
  <c r="B77" i="6"/>
  <c r="AA46" i="5"/>
  <c r="C37" i="6"/>
  <c r="H37" i="5" l="1"/>
  <c r="E79" i="6"/>
  <c r="B78" i="6"/>
  <c r="O48" i="5"/>
  <c r="P48" i="5" l="1"/>
  <c r="T48" i="5"/>
  <c r="X37" i="5"/>
  <c r="C38" i="5"/>
  <c r="B79" i="6"/>
  <c r="E80" i="6"/>
  <c r="AA47" i="5"/>
  <c r="H37" i="6"/>
  <c r="W37" i="5"/>
  <c r="D38" i="5" l="1"/>
  <c r="H38" i="5"/>
  <c r="B80" i="6"/>
  <c r="E81" i="6"/>
  <c r="C38" i="6"/>
  <c r="D38" i="6"/>
  <c r="O49" i="5"/>
  <c r="P49" i="5" l="1"/>
  <c r="T49" i="5" s="1"/>
  <c r="E82" i="6"/>
  <c r="B81" i="6"/>
  <c r="AA48" i="5"/>
  <c r="X38" i="5" l="1"/>
  <c r="C39" i="5"/>
  <c r="E83" i="6"/>
  <c r="B82" i="6"/>
  <c r="W38" i="5"/>
  <c r="H38" i="6"/>
  <c r="O50" i="5"/>
  <c r="P50" i="5" l="1"/>
  <c r="T50" i="5" s="1"/>
  <c r="D39" i="5"/>
  <c r="D39" i="6" s="1"/>
  <c r="E84" i="6"/>
  <c r="B83" i="6"/>
  <c r="AA49" i="5"/>
  <c r="C39" i="6"/>
  <c r="H39" i="5" l="1"/>
  <c r="E85" i="6"/>
  <c r="B84" i="6"/>
  <c r="O51" i="5"/>
  <c r="P51" i="5" l="1"/>
  <c r="T51" i="5" s="1"/>
  <c r="X39" i="5"/>
  <c r="C40" i="5"/>
  <c r="B85" i="6"/>
  <c r="E86" i="6"/>
  <c r="AA50" i="5"/>
  <c r="W39" i="5"/>
  <c r="H39" i="6"/>
  <c r="D40" i="5" l="1"/>
  <c r="H40" i="5"/>
  <c r="B86" i="6"/>
  <c r="E87" i="6"/>
  <c r="C40" i="6"/>
  <c r="D40" i="6"/>
  <c r="O52" i="5"/>
  <c r="P52" i="5" l="1"/>
  <c r="T52" i="5" s="1"/>
  <c r="E88" i="6"/>
  <c r="B87" i="6"/>
  <c r="AA51" i="5"/>
  <c r="H40" i="6" l="1"/>
  <c r="C41" i="5"/>
  <c r="E89" i="6"/>
  <c r="E90" i="6"/>
  <c r="B88" i="6"/>
  <c r="X40" i="5"/>
  <c r="W40" i="5"/>
  <c r="O53" i="5"/>
  <c r="P53" i="5" l="1"/>
  <c r="T53" i="5" s="1"/>
  <c r="C41" i="6"/>
  <c r="D41" i="5"/>
  <c r="D41" i="6" s="1"/>
  <c r="B89" i="6"/>
  <c r="B90" i="6"/>
  <c r="AA52" i="5"/>
  <c r="H41" i="5" l="1"/>
  <c r="C42" i="5"/>
  <c r="O54" i="5"/>
  <c r="P54" i="5" l="1"/>
  <c r="T54" i="5" s="1"/>
  <c r="D42" i="5"/>
  <c r="H42" i="5" s="1"/>
  <c r="X41" i="5"/>
  <c r="W41" i="5"/>
  <c r="H41" i="6"/>
  <c r="C42" i="6"/>
  <c r="AA53" i="5"/>
  <c r="D42" i="6" l="1"/>
  <c r="O55" i="5"/>
  <c r="P55" i="5" l="1"/>
  <c r="T55" i="5" s="1"/>
  <c r="H42" i="6"/>
  <c r="AA54" i="5"/>
  <c r="X42" i="5"/>
  <c r="W42" i="5" l="1"/>
  <c r="C43" i="5"/>
  <c r="O56" i="5"/>
  <c r="P56" i="5" l="1"/>
  <c r="T56" i="5" s="1"/>
  <c r="D43" i="5"/>
  <c r="D43" i="6" s="1"/>
  <c r="C43" i="6"/>
  <c r="AA55" i="5"/>
  <c r="H43" i="5" l="1"/>
  <c r="W43" i="5" s="1"/>
  <c r="C44" i="5"/>
  <c r="O57" i="5"/>
  <c r="H43" i="6"/>
  <c r="X43" i="5"/>
  <c r="P57" i="5" l="1"/>
  <c r="T57" i="5" s="1"/>
  <c r="D44" i="5"/>
  <c r="H44" i="5" s="1"/>
  <c r="AA56" i="5"/>
  <c r="C44" i="6"/>
  <c r="D44" i="6" l="1"/>
  <c r="O58" i="5"/>
  <c r="P58" i="5" l="1"/>
  <c r="T58" i="5" s="1"/>
  <c r="W44" i="5"/>
  <c r="C45" i="5"/>
  <c r="AA57" i="5"/>
  <c r="X44" i="5"/>
  <c r="H44" i="6"/>
  <c r="D45" i="5" l="1"/>
  <c r="H45" i="5"/>
  <c r="C45" i="6"/>
  <c r="D45" i="6"/>
  <c r="O59" i="5"/>
  <c r="P59" i="5" l="1"/>
  <c r="T59" i="5" s="1"/>
  <c r="AA58" i="5"/>
  <c r="W45" i="5" l="1"/>
  <c r="C46" i="5"/>
  <c r="H45" i="6"/>
  <c r="X45" i="5"/>
  <c r="O60" i="5"/>
  <c r="P60" i="5" l="1"/>
  <c r="T60" i="5" s="1"/>
  <c r="D46" i="5"/>
  <c r="H46" i="5" s="1"/>
  <c r="AA59" i="5"/>
  <c r="C46" i="6"/>
  <c r="D46" i="6" l="1"/>
  <c r="C47" i="5"/>
  <c r="O61" i="5"/>
  <c r="P61" i="5" l="1"/>
  <c r="T61" i="5" s="1"/>
  <c r="D47" i="5"/>
  <c r="H47" i="5" s="1"/>
  <c r="AA60" i="5"/>
  <c r="X46" i="5"/>
  <c r="W46" i="5"/>
  <c r="H46" i="6"/>
  <c r="C47" i="6"/>
  <c r="D47" i="6" l="1"/>
  <c r="O62" i="5"/>
  <c r="P62" i="5" l="1"/>
  <c r="T62" i="5"/>
  <c r="W47" i="5"/>
  <c r="C48" i="5"/>
  <c r="AA61" i="5"/>
  <c r="X47" i="5"/>
  <c r="H47" i="6"/>
  <c r="D48" i="5" l="1"/>
  <c r="H48" i="5"/>
  <c r="O63" i="5"/>
  <c r="C48" i="6"/>
  <c r="D48" i="6"/>
  <c r="P63" i="5" l="1"/>
  <c r="T63" i="5" s="1"/>
  <c r="AA62" i="5"/>
  <c r="W48" i="5" l="1"/>
  <c r="C49" i="5"/>
  <c r="O64" i="5"/>
  <c r="H48" i="6"/>
  <c r="X48" i="5"/>
  <c r="P64" i="5" l="1"/>
  <c r="T64" i="5" s="1"/>
  <c r="D49" i="5"/>
  <c r="D49" i="6" s="1"/>
  <c r="AA63" i="5"/>
  <c r="C49" i="6"/>
  <c r="H49" i="5" l="1"/>
  <c r="O65" i="5"/>
  <c r="P65" i="5" l="1"/>
  <c r="T65" i="5" s="1"/>
  <c r="W49" i="5"/>
  <c r="C50" i="5"/>
  <c r="AA64" i="5"/>
  <c r="X49" i="5"/>
  <c r="H49" i="6"/>
  <c r="D50" i="5" l="1"/>
  <c r="H50" i="5" s="1"/>
  <c r="O66" i="5"/>
  <c r="C50" i="6"/>
  <c r="D50" i="6" l="1"/>
  <c r="P66" i="5"/>
  <c r="T66" i="5" s="1"/>
  <c r="AA65" i="5"/>
  <c r="W50" i="5" l="1"/>
  <c r="C51" i="5"/>
  <c r="O67" i="5"/>
  <c r="H50" i="6"/>
  <c r="X50" i="5"/>
  <c r="P67" i="5" l="1"/>
  <c r="T67" i="5" s="1"/>
  <c r="D51" i="5"/>
  <c r="D51" i="6" s="1"/>
  <c r="AA66" i="5"/>
  <c r="C51" i="6"/>
  <c r="H51" i="5" l="1"/>
  <c r="O68" i="5"/>
  <c r="P68" i="5" l="1"/>
  <c r="T68" i="5" s="1"/>
  <c r="W51" i="5"/>
  <c r="C52" i="5"/>
  <c r="AA67" i="5"/>
  <c r="X51" i="5"/>
  <c r="H51" i="6"/>
  <c r="D52" i="5" l="1"/>
  <c r="H52" i="5" s="1"/>
  <c r="O69" i="5"/>
  <c r="C52" i="6"/>
  <c r="D52" i="6"/>
  <c r="P69" i="5" l="1"/>
  <c r="T69" i="5" s="1"/>
  <c r="AA68" i="5"/>
  <c r="W52" i="5" l="1"/>
  <c r="C53" i="5"/>
  <c r="O70" i="5"/>
  <c r="X52" i="5"/>
  <c r="H52" i="6"/>
  <c r="P70" i="5" l="1"/>
  <c r="T70" i="5" s="1"/>
  <c r="O71" i="5" s="1"/>
  <c r="D53" i="5"/>
  <c r="H53" i="5" s="1"/>
  <c r="AA69" i="5"/>
  <c r="C53" i="6"/>
  <c r="D53" i="6" l="1"/>
  <c r="P71" i="5"/>
  <c r="T71" i="5" s="1"/>
  <c r="O72" i="5" s="1"/>
  <c r="W53" i="5"/>
  <c r="C54" i="5"/>
  <c r="AA70" i="5"/>
  <c r="H53" i="6"/>
  <c r="X53" i="5"/>
  <c r="P72" i="5" l="1"/>
  <c r="T72" i="5" s="1"/>
  <c r="O73" i="5" s="1"/>
  <c r="D54" i="5"/>
  <c r="H54" i="5" s="1"/>
  <c r="C54" i="6"/>
  <c r="P73" i="5" l="1"/>
  <c r="T73" i="5" s="1"/>
  <c r="O74" i="5" s="1"/>
  <c r="D54" i="6"/>
  <c r="AA71" i="5"/>
  <c r="P74" i="5" l="1"/>
  <c r="T74" i="5" s="1"/>
  <c r="O75" i="5" s="1"/>
  <c r="W54" i="5"/>
  <c r="C55" i="5"/>
  <c r="H54" i="6"/>
  <c r="X54" i="5"/>
  <c r="P75" i="5" l="1"/>
  <c r="T75" i="5" s="1"/>
  <c r="D55" i="5"/>
  <c r="D55" i="6" s="1"/>
  <c r="AA72" i="5"/>
  <c r="C55" i="6"/>
  <c r="H55" i="5" l="1"/>
  <c r="W55" i="5"/>
  <c r="C56" i="5"/>
  <c r="AA73" i="5"/>
  <c r="X55" i="5"/>
  <c r="H55" i="6"/>
  <c r="D56" i="5" l="1"/>
  <c r="H56" i="5" s="1"/>
  <c r="C56" i="6"/>
  <c r="D56" i="6" l="1"/>
  <c r="AA74" i="5"/>
  <c r="C57" i="5"/>
  <c r="D57" i="5" l="1"/>
  <c r="H57" i="5" s="1"/>
  <c r="H56" i="6"/>
  <c r="W56" i="5"/>
  <c r="X56" i="5"/>
  <c r="C57" i="6"/>
  <c r="D57" i="6"/>
  <c r="AA75" i="5" l="1"/>
  <c r="W57" i="5" l="1"/>
  <c r="C58" i="5"/>
  <c r="X57" i="5"/>
  <c r="H57" i="6"/>
  <c r="D58" i="5" l="1"/>
  <c r="H58" i="5" s="1"/>
  <c r="AA76" i="5"/>
  <c r="C58" i="6"/>
  <c r="D58" i="6" l="1"/>
  <c r="W58" i="5"/>
  <c r="C59" i="5"/>
  <c r="AA77" i="5"/>
  <c r="X58" i="5"/>
  <c r="H58" i="6"/>
  <c r="D59" i="5" l="1"/>
  <c r="H59" i="5" s="1"/>
  <c r="C59" i="6"/>
  <c r="D59" i="6" l="1"/>
  <c r="AA78" i="5"/>
  <c r="W59" i="5" l="1"/>
  <c r="C60" i="5"/>
  <c r="X59" i="5"/>
  <c r="H59" i="6"/>
  <c r="D60" i="5" l="1"/>
  <c r="H60" i="5" s="1"/>
  <c r="AA79" i="5"/>
  <c r="C60" i="6"/>
  <c r="D60" i="6"/>
  <c r="C61" i="5" l="1"/>
  <c r="D61" i="5" l="1"/>
  <c r="H61" i="5" s="1"/>
  <c r="AA80" i="5"/>
  <c r="W60" i="5"/>
  <c r="X60" i="5"/>
  <c r="H60" i="6"/>
  <c r="C61" i="6" l="1"/>
  <c r="D61" i="6"/>
  <c r="AA81" i="5" l="1"/>
  <c r="C62" i="5"/>
  <c r="D62" i="5" l="1"/>
  <c r="H62" i="5" s="1"/>
  <c r="X61" i="5"/>
  <c r="H61" i="6"/>
  <c r="W61" i="5"/>
  <c r="AA82" i="5" l="1"/>
  <c r="C62" i="6"/>
  <c r="D62" i="6"/>
  <c r="C63" i="5" l="1"/>
  <c r="W62" i="5"/>
  <c r="D63" i="5" l="1"/>
  <c r="H63" i="5" s="1"/>
  <c r="X62" i="5"/>
  <c r="D63" i="6"/>
  <c r="H62" i="6"/>
  <c r="AA83" i="5"/>
  <c r="C63" i="6"/>
  <c r="C64" i="5" l="1"/>
  <c r="D64" i="5" l="1"/>
  <c r="H64" i="5"/>
  <c r="X63" i="5"/>
  <c r="AA84" i="5"/>
  <c r="H63" i="6"/>
  <c r="W63" i="5"/>
  <c r="C64" i="6" l="1"/>
  <c r="D64" i="6"/>
  <c r="C65" i="5" l="1"/>
  <c r="AA85" i="5"/>
  <c r="W64" i="5"/>
  <c r="D65" i="5" l="1"/>
  <c r="H65" i="5"/>
  <c r="H64" i="6"/>
  <c r="X64" i="5"/>
  <c r="C65" i="6"/>
  <c r="D65" i="6"/>
  <c r="AA86" i="5" l="1"/>
  <c r="C66" i="5"/>
  <c r="D66" i="5" l="1"/>
  <c r="H66" i="5"/>
  <c r="X65" i="5"/>
  <c r="H65" i="6"/>
  <c r="W65" i="5"/>
  <c r="AA87" i="5" l="1"/>
  <c r="C66" i="6"/>
  <c r="D66" i="6"/>
  <c r="C67" i="5" l="1"/>
  <c r="D67" i="5" l="1"/>
  <c r="H67" i="5" s="1"/>
  <c r="X66" i="5"/>
  <c r="AA88" i="5"/>
  <c r="H66" i="6"/>
  <c r="W66" i="5"/>
  <c r="C67" i="6" l="1"/>
  <c r="D67" i="6"/>
  <c r="AA89" i="5" l="1"/>
  <c r="C68" i="5"/>
  <c r="D68" i="5" l="1"/>
  <c r="H68" i="5" s="1"/>
  <c r="X67" i="5"/>
  <c r="H67" i="6"/>
  <c r="W67" i="5"/>
  <c r="AA90" i="5"/>
  <c r="C68" i="6" l="1"/>
  <c r="D68" i="6"/>
  <c r="C69" i="5" l="1"/>
  <c r="D69" i="5" l="1"/>
  <c r="H69" i="5" s="1"/>
  <c r="X68" i="5"/>
  <c r="H68" i="6"/>
  <c r="W68" i="5"/>
  <c r="C69" i="6" l="1"/>
  <c r="D69" i="6"/>
  <c r="C70" i="5" l="1"/>
  <c r="D70" i="5" l="1"/>
  <c r="H70" i="5" s="1"/>
  <c r="C71" i="5" s="1"/>
  <c r="X69" i="5"/>
  <c r="H69" i="6"/>
  <c r="W69" i="5"/>
  <c r="D71" i="5" l="1"/>
  <c r="H71" i="5" s="1"/>
  <c r="C72" i="5" s="1"/>
  <c r="C70" i="6"/>
  <c r="D70" i="6"/>
  <c r="D72" i="5" l="1"/>
  <c r="H72" i="5" s="1"/>
  <c r="C73" i="5" s="1"/>
  <c r="H70" i="6"/>
  <c r="X70" i="5"/>
  <c r="W70" i="5"/>
  <c r="D73" i="5" l="1"/>
  <c r="H73" i="5" s="1"/>
  <c r="C74" i="5" s="1"/>
  <c r="C71" i="6"/>
  <c r="D71" i="6"/>
  <c r="D74" i="5" l="1"/>
  <c r="H74" i="5" s="1"/>
  <c r="C75" i="5" s="1"/>
  <c r="H71" i="6"/>
  <c r="X71" i="5"/>
  <c r="D75" i="5" l="1"/>
  <c r="H75" i="5" s="1"/>
  <c r="C72" i="6"/>
  <c r="D72" i="6"/>
  <c r="H72" i="6" l="1"/>
  <c r="X72" i="5"/>
  <c r="C73" i="6" l="1"/>
  <c r="D73" i="6"/>
  <c r="H73" i="6" l="1"/>
  <c r="X73" i="5"/>
  <c r="C74" i="6" l="1"/>
  <c r="D74" i="6"/>
  <c r="H74" i="6" l="1"/>
  <c r="X74" i="5"/>
  <c r="C75" i="6" l="1"/>
  <c r="D75" i="6"/>
  <c r="H75" i="6" l="1"/>
  <c r="X75" i="5"/>
  <c r="C76" i="6" l="1"/>
  <c r="D76" i="6"/>
  <c r="H76" i="6" l="1"/>
  <c r="X76" i="5"/>
  <c r="C77" i="6" l="1"/>
  <c r="D77" i="6"/>
  <c r="H77" i="6" l="1"/>
  <c r="X77" i="5"/>
  <c r="C78" i="6" l="1"/>
  <c r="D78" i="6"/>
  <c r="H78" i="6" l="1"/>
  <c r="X78" i="5"/>
  <c r="C79" i="6" l="1"/>
  <c r="D79" i="6"/>
  <c r="H79" i="6" l="1"/>
  <c r="X79" i="5"/>
  <c r="C80" i="6" l="1"/>
  <c r="D80" i="6"/>
  <c r="H80" i="6" l="1"/>
  <c r="X80" i="5"/>
  <c r="C81" i="6" l="1"/>
  <c r="D81" i="6"/>
  <c r="H81" i="6" l="1"/>
  <c r="X81" i="5"/>
  <c r="C82" i="6" l="1"/>
  <c r="D82" i="6"/>
  <c r="H82" i="6" l="1"/>
  <c r="X82" i="5"/>
  <c r="C83" i="6" l="1"/>
  <c r="D83" i="6"/>
  <c r="H83" i="6" l="1"/>
  <c r="X83" i="5"/>
  <c r="C84" i="6" l="1"/>
  <c r="D84" i="6"/>
  <c r="H84" i="6" l="1"/>
  <c r="X84" i="5"/>
  <c r="C85" i="6" l="1"/>
  <c r="D85" i="6"/>
  <c r="H85" i="6" l="1"/>
  <c r="X85" i="5"/>
  <c r="C86" i="6" l="1"/>
  <c r="D86" i="6"/>
  <c r="H86" i="6" l="1"/>
  <c r="X86" i="5"/>
  <c r="C87" i="6" l="1"/>
  <c r="D87" i="6"/>
  <c r="H87" i="6" l="1"/>
  <c r="X87" i="5"/>
  <c r="C88" i="6" l="1"/>
  <c r="D88" i="6"/>
  <c r="H88" i="6" l="1"/>
  <c r="X88" i="5"/>
  <c r="C89" i="6" l="1"/>
  <c r="D89" i="6"/>
  <c r="H89" i="6" l="1"/>
  <c r="X89" i="5"/>
  <c r="C90" i="6" l="1"/>
  <c r="D90" i="6"/>
  <c r="H90" i="6" l="1"/>
  <c r="X90" i="5"/>
  <c r="D4" i="5" l="1"/>
  <c r="D8" i="5"/>
  <c r="F13" i="5" s="1"/>
  <c r="E3" i="5" a="1"/>
  <c r="E3" i="5" s="1"/>
  <c r="H11" i="5" s="1"/>
  <c r="E7" i="5" l="1"/>
  <c r="E6" i="5"/>
  <c r="H7" i="5" s="1"/>
  <c r="F12" i="5"/>
  <c r="H9" i="5"/>
  <c r="F10" i="5"/>
  <c r="F9" i="5"/>
  <c r="H12" i="5"/>
  <c r="F11" i="5"/>
  <c r="H10" i="5"/>
  <c r="A2" i="6" l="1"/>
  <c r="H6" i="5"/>
</calcChain>
</file>

<file path=xl/sharedStrings.xml><?xml version="1.0" encoding="utf-8"?>
<sst xmlns="http://schemas.openxmlformats.org/spreadsheetml/2006/main" count="69" uniqueCount="47">
  <si>
    <t>Age</t>
  </si>
  <si>
    <t>Salary</t>
  </si>
  <si>
    <t>Balance</t>
  </si>
  <si>
    <t>Interest</t>
  </si>
  <si>
    <t>Saving</t>
  </si>
  <si>
    <t>Retired</t>
  </si>
  <si>
    <t>Uncertainty</t>
  </si>
  <si>
    <t>Congratulations! Your plan seems to work. At age [AGE], you will still have a savings balance of [BALANCE].</t>
  </si>
  <si>
    <t>Oops. This plan will only provide income to age [AGE]. You'll need to make some modifications.</t>
  </si>
  <si>
    <t>Success:</t>
  </si>
  <si>
    <t>Success</t>
  </si>
  <si>
    <t>Failure</t>
  </si>
  <si>
    <t>Calculations</t>
  </si>
  <si>
    <t>Your current age</t>
  </si>
  <si>
    <t>Annual income ($)</t>
  </si>
  <si>
    <t>Annual inflation &amp; income increases (%)</t>
  </si>
  <si>
    <t>Retirement savings balance ($)</t>
  </si>
  <si>
    <t>Annual savings amount ($)</t>
  </si>
  <si>
    <t>Annual savings increases (%)</t>
  </si>
  <si>
    <t>Investment return (%)</t>
  </si>
  <si>
    <t>Annual pension benefit ($)</t>
  </si>
  <si>
    <t>Annual pension benefit increases (%)</t>
  </si>
  <si>
    <t>Desired retirement age</t>
  </si>
  <si>
    <t>Number of years of retirement income</t>
  </si>
  <si>
    <t>Income replacement (%)</t>
  </si>
  <si>
    <t>Investment return uncertainty</t>
  </si>
  <si>
    <t>Annual savings amount uncertainty</t>
  </si>
  <si>
    <t>Annual savings increases uncertainty</t>
  </si>
  <si>
    <t>Annual pension benefit amount uncertainty</t>
  </si>
  <si>
    <t>Yearly savings</t>
  </si>
  <si>
    <t>Desired retirement income</t>
  </si>
  <si>
    <t>Pension income</t>
  </si>
  <si>
    <t>Year ending balance</t>
  </si>
  <si>
    <t>Annual Pension benefit increases uncertainty</t>
  </si>
  <si>
    <t>Chart details</t>
  </si>
  <si>
    <t>End balance</t>
  </si>
  <si>
    <t>Failure template:</t>
  </si>
  <si>
    <t>Success template:</t>
  </si>
  <si>
    <t>Failure display:</t>
  </si>
  <si>
    <t>Success display:</t>
  </si>
  <si>
    <t>This sheet should remain hidden. Any modifications may result in errors in the retirement planner.</t>
  </si>
  <si>
    <t>Input</t>
  </si>
  <si>
    <t>At Retirement</t>
  </si>
  <si>
    <t>Uncertainty (%)</t>
  </si>
  <si>
    <t>Retirement planner</t>
  </si>
  <si>
    <t>Now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</si>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</sst>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"/>
  </numFmts>
  <fonts count="29" x14ac:knownFonts="1">
    <font>
      <sz val="11"/>
      <color theme="4" tint="-0.499984740745262"/>
      <name val="Franklin Gothic Book"/>
      <family val="2"/>
      <scheme val="minor"/>
    </font>
    <font>
      <sz val="21"/>
      <color theme="4" tint="-0.499984740745262"/>
      <name val="Georgia"/>
      <family val="1"/>
      <scheme val="major"/>
    </font>
    <font>
      <sz val="11"/>
      <color theme="4" tint="-0.499984740745262"/>
      <name val="Franklin Gothic Book"/>
      <family val="2"/>
      <scheme val="minor"/>
    </font>
    <font>
      <sz val="32"/>
      <color theme="4" tint="-0.499984740745262"/>
      <name val="Georgia"/>
      <family val="2"/>
      <scheme val="major"/>
    </font>
    <font>
      <sz val="11"/>
      <color theme="6" tint="-0.499984740745262"/>
      <name val="Franklin Gothic Book"/>
      <family val="2"/>
      <scheme val="minor"/>
    </font>
    <font>
      <sz val="11"/>
      <color theme="4" tint="-0.24994659260841701"/>
      <name val="Georgia"/>
      <family val="1"/>
      <scheme val="major"/>
    </font>
    <font>
      <sz val="11"/>
      <color theme="0"/>
      <name val="Franklin Gothic Book"/>
      <family val="2"/>
      <scheme val="minor"/>
    </font>
    <font>
      <sz val="15"/>
      <color theme="4" tint="-0.499984740745262"/>
      <name val="Georgia"/>
      <family val="1"/>
      <scheme val="major"/>
    </font>
    <font>
      <sz val="9"/>
      <color theme="1" tint="0.14999847407452621"/>
      <name val="Franklin Gothic Book"/>
      <family val="2"/>
      <scheme val="minor"/>
    </font>
    <font>
      <sz val="10"/>
      <color theme="1" tint="0.14999847407452621"/>
      <name val="Franklin Gothic Book"/>
      <family val="2"/>
      <scheme val="minor"/>
    </font>
    <font>
      <sz val="20"/>
      <color theme="1" tint="0.14999847407452621"/>
      <name val="Georgia"/>
      <family val="2"/>
      <scheme val="major"/>
    </font>
    <font>
      <sz val="26"/>
      <color theme="1" tint="0.249977111117893"/>
      <name val="Georgia"/>
      <family val="3"/>
      <scheme val="major"/>
    </font>
    <font>
      <sz val="26"/>
      <color theme="3" tint="-0.499984740745262"/>
      <name val="Georgia"/>
      <family val="3"/>
      <scheme val="major"/>
    </font>
    <font>
      <sz val="36"/>
      <color theme="1" tint="0.14999847407452621"/>
      <name val="Century"/>
      <family val="1"/>
    </font>
    <font>
      <sz val="11"/>
      <color theme="3" tint="-0.499984740745262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11"/>
      <name val="Franklin Gothic Book"/>
      <family val="2"/>
      <scheme val="minor"/>
    </font>
    <font>
      <sz val="10"/>
      <color theme="4" tint="0.79998168889431442"/>
      <name val="Franklin Gothic Book"/>
      <family val="2"/>
      <scheme val="minor"/>
    </font>
    <font>
      <sz val="10"/>
      <color rgb="FFF5F8EF"/>
      <name val="Franklin Gothic Book"/>
      <family val="2"/>
      <scheme val="minor"/>
    </font>
    <font>
      <sz val="10"/>
      <color rgb="FF262626"/>
      <name val="Franklin Gothic Book"/>
      <family val="2"/>
      <scheme val="minor"/>
    </font>
    <font>
      <sz val="11"/>
      <color theme="7" tint="-0.499984740745262"/>
      <name val="Franklin Gothic Book"/>
      <family val="2"/>
      <scheme val="minor"/>
    </font>
    <font>
      <sz val="48"/>
      <color theme="7" tint="-0.499984740745262"/>
      <name val="Georgia"/>
      <family val="1"/>
      <scheme val="major"/>
    </font>
    <font>
      <sz val="28"/>
      <color theme="7" tint="-0.499984740745262"/>
      <name val="Georgia"/>
      <family val="1"/>
      <scheme val="major"/>
    </font>
    <font>
      <sz val="36"/>
      <color theme="7" tint="-0.249977111117893"/>
      <name val="Georgia"/>
      <family val="1"/>
      <scheme val="major"/>
    </font>
    <font>
      <sz val="10"/>
      <color theme="3" tint="-0.499984740745262"/>
      <name val="Franklin Gothic Book"/>
      <family val="2"/>
      <scheme val="minor"/>
    </font>
    <font>
      <sz val="10"/>
      <color rgb="FFFF0000"/>
      <name val="Franklin Gothic Book"/>
      <family val="2"/>
      <scheme val="minor"/>
    </font>
    <font>
      <sz val="48"/>
      <color theme="7" tint="-0.249977111117893"/>
      <name val="Georgia"/>
      <family val="1"/>
      <scheme val="major"/>
    </font>
    <font>
      <sz val="24"/>
      <color theme="7" tint="-0.499984740745262"/>
      <name val="Georgia"/>
      <family val="1"/>
      <scheme val="major"/>
    </font>
    <font>
      <sz val="24"/>
      <color theme="7" tint="-0.249977111117893"/>
      <name val="Georg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5F8EF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 style="thick">
        <color theme="0"/>
      </right>
      <top/>
      <bottom style="thin">
        <color theme="8" tint="0.79998168889431442"/>
      </bottom>
      <diagonal/>
    </border>
    <border>
      <left style="thick">
        <color theme="0"/>
      </left>
      <right/>
      <top/>
      <bottom style="thin">
        <color theme="4" tint="0.7999816888943144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rgb="FFE2E9CF"/>
      </top>
      <bottom style="thin">
        <color rgb="FFE2E9CF"/>
      </bottom>
      <diagonal/>
    </border>
    <border>
      <left/>
      <right/>
      <top/>
      <bottom style="thin">
        <color rgb="FFE2E9CF"/>
      </bottom>
      <diagonal/>
    </border>
    <border>
      <left/>
      <right/>
      <top style="thin">
        <color rgb="FFE2E9CF"/>
      </top>
      <bottom/>
      <diagonal/>
    </border>
  </borders>
  <cellStyleXfs count="11">
    <xf numFmtId="0" fontId="0" fillId="0" borderId="0">
      <alignment horizontal="left" indent="1"/>
    </xf>
    <xf numFmtId="0" fontId="1" fillId="0" borderId="0">
      <alignment horizontal="left"/>
    </xf>
    <xf numFmtId="0" fontId="5" fillId="0" borderId="0">
      <alignment horizontal="left" wrapText="1" indent="1"/>
    </xf>
    <xf numFmtId="0" fontId="2" fillId="0" borderId="2">
      <alignment horizontal="left" wrapText="1" indent="2"/>
    </xf>
    <xf numFmtId="0" fontId="4" fillId="2" borderId="1">
      <alignment horizontal="right"/>
    </xf>
    <xf numFmtId="0" fontId="3" fillId="0" borderId="0">
      <alignment vertical="center"/>
    </xf>
    <xf numFmtId="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7" fillId="0" borderId="0">
      <alignment horizontal="left" vertical="center" indent="1"/>
    </xf>
    <xf numFmtId="0" fontId="6" fillId="0" borderId="0" applyNumberFormat="0" applyFill="0" applyBorder="0" applyProtection="0">
      <alignment vertical="center"/>
    </xf>
  </cellStyleXfs>
  <cellXfs count="50">
    <xf numFmtId="0" fontId="0" fillId="0" borderId="0" xfId="0">
      <alignment horizontal="left" inden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9" fillId="0" borderId="0" xfId="6" applyFont="1" applyFill="1" applyBorder="1" applyAlignment="1">
      <alignment horizontal="center" vertical="center"/>
    </xf>
    <xf numFmtId="164" fontId="9" fillId="0" borderId="0" xfId="7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>
      <alignment horizontal="left" indent="1"/>
    </xf>
    <xf numFmtId="0" fontId="9" fillId="0" borderId="0" xfId="0" quotePrefix="1" applyFont="1">
      <alignment horizontal="left" indent="1"/>
    </xf>
    <xf numFmtId="8" fontId="9" fillId="3" borderId="0" xfId="0" applyNumberFormat="1" applyFont="1" applyFill="1">
      <alignment horizontal="left" indent="1"/>
    </xf>
    <xf numFmtId="0" fontId="9" fillId="3" borderId="0" xfId="0" applyFont="1" applyFill="1">
      <alignment horizontal="left" indent="1"/>
    </xf>
    <xf numFmtId="3" fontId="9" fillId="0" borderId="0" xfId="0" applyNumberFormat="1" applyFont="1">
      <alignment horizontal="left" indent="1"/>
    </xf>
    <xf numFmtId="0" fontId="11" fillId="0" borderId="3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3" fontId="12" fillId="0" borderId="3" xfId="1" applyNumberFormat="1" applyFont="1" applyBorder="1" applyAlignment="1">
      <alignment horizontal="left" vertical="center"/>
    </xf>
    <xf numFmtId="0" fontId="8" fillId="0" borderId="0" xfId="3" applyFont="1" applyBorder="1" applyAlignment="1">
      <alignment horizontal="right" vertical="center" wrapText="1" indent="1"/>
    </xf>
    <xf numFmtId="0" fontId="8" fillId="0" borderId="0" xfId="3" applyFont="1" applyBorder="1" applyAlignment="1">
      <alignment horizontal="right" vertical="center" indent="1"/>
    </xf>
    <xf numFmtId="0" fontId="13" fillId="0" borderId="0" xfId="0" applyFont="1" applyAlignment="1">
      <alignment horizontal="center" vertical="center"/>
    </xf>
    <xf numFmtId="0" fontId="14" fillId="0" borderId="5" xfId="2" applyFont="1" applyBorder="1" applyAlignment="1">
      <alignment horizontal="right" vertical="center" wrapText="1" indent="1"/>
    </xf>
    <xf numFmtId="3" fontId="15" fillId="0" borderId="6" xfId="6" applyFont="1" applyFill="1" applyBorder="1" applyAlignment="1">
      <alignment horizontal="right" vertical="center" indent="1"/>
    </xf>
    <xf numFmtId="164" fontId="15" fillId="0" borderId="6" xfId="7" applyFont="1" applyFill="1" applyBorder="1" applyAlignment="1">
      <alignment horizontal="right" vertical="center" indent="1"/>
    </xf>
    <xf numFmtId="0" fontId="15" fillId="0" borderId="0" xfId="3" applyFont="1" applyBorder="1" applyAlignment="1">
      <alignment horizontal="right" vertical="center" wrapText="1" indent="1"/>
    </xf>
    <xf numFmtId="0" fontId="15" fillId="0" borderId="0" xfId="3" applyFont="1" applyBorder="1" applyAlignment="1">
      <alignment horizontal="right" vertical="center" indent="1"/>
    </xf>
    <xf numFmtId="0" fontId="15" fillId="0" borderId="0" xfId="0" applyFont="1" applyAlignment="1">
      <alignment horizontal="center" vertical="center"/>
    </xf>
    <xf numFmtId="3" fontId="16" fillId="5" borderId="7" xfId="6" applyFont="1" applyFill="1" applyBorder="1" applyAlignment="1">
      <alignment horizontal="right" vertical="center" indent="1"/>
    </xf>
    <xf numFmtId="164" fontId="16" fillId="5" borderId="7" xfId="6" applyNumberFormat="1" applyFont="1" applyFill="1" applyBorder="1" applyAlignment="1">
      <alignment horizontal="right" vertical="center" indent="1"/>
    </xf>
    <xf numFmtId="10" fontId="16" fillId="5" borderId="7" xfId="8" applyFont="1" applyFill="1" applyBorder="1" applyAlignment="1">
      <alignment horizontal="right" vertical="center" indent="1"/>
    </xf>
    <xf numFmtId="0" fontId="19" fillId="0" borderId="9" xfId="0" applyFont="1" applyBorder="1" applyAlignment="1">
      <alignment horizontal="center" vertical="center" indent="1"/>
    </xf>
    <xf numFmtId="0" fontId="19" fillId="6" borderId="9" xfId="0" applyFont="1" applyFill="1" applyBorder="1" applyAlignment="1">
      <alignment horizontal="center" vertical="center" indent="1"/>
    </xf>
    <xf numFmtId="0" fontId="18" fillId="6" borderId="9" xfId="0" applyFont="1" applyFill="1" applyBorder="1" applyAlignment="1">
      <alignment horizontal="center" vertical="center" indent="1"/>
    </xf>
    <xf numFmtId="0" fontId="18" fillId="7" borderId="8" xfId="0" applyFont="1" applyFill="1" applyBorder="1" applyAlignment="1">
      <alignment horizontal="center" vertical="center" indent="1"/>
    </xf>
    <xf numFmtId="0" fontId="17" fillId="4" borderId="6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indent="1"/>
    </xf>
    <xf numFmtId="0" fontId="20" fillId="0" borderId="0" xfId="2" applyFont="1" applyAlignment="1">
      <alignment horizontal="right" vertical="center" wrapText="1" indent="1"/>
    </xf>
    <xf numFmtId="0" fontId="14" fillId="0" borderId="0" xfId="2" applyFont="1" applyAlignment="1">
      <alignment horizontal="right" vertical="center" wrapText="1" indent="1"/>
    </xf>
    <xf numFmtId="0" fontId="14" fillId="0" borderId="5" xfId="2" applyFont="1" applyBorder="1" applyAlignment="1">
      <alignment horizontal="center" vertical="center" wrapText="1"/>
    </xf>
    <xf numFmtId="164" fontId="15" fillId="0" borderId="6" xfId="7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 inden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1" fillId="4" borderId="4" xfId="1" applyFont="1" applyFill="1" applyBorder="1" applyAlignment="1">
      <alignment horizontal="center" vertical="center"/>
    </xf>
    <xf numFmtId="0" fontId="26" fillId="4" borderId="4" xfId="1" applyFont="1" applyFill="1" applyBorder="1" applyAlignment="1">
      <alignment horizontal="center" vertical="center"/>
    </xf>
    <xf numFmtId="0" fontId="22" fillId="4" borderId="4" xfId="1" applyFont="1" applyFill="1" applyBorder="1" applyAlignment="1">
      <alignment horizontal="center" vertical="center"/>
    </xf>
    <xf numFmtId="0" fontId="23" fillId="4" borderId="4" xfId="1" applyFont="1" applyFill="1" applyBorder="1" applyAlignment="1">
      <alignment horizontal="center" vertical="center"/>
    </xf>
    <xf numFmtId="0" fontId="27" fillId="4" borderId="4" xfId="1" applyFont="1" applyFill="1" applyBorder="1" applyAlignment="1">
      <alignment horizontal="center" vertical="center"/>
    </xf>
    <xf numFmtId="0" fontId="28" fillId="4" borderId="4" xfId="1" applyFont="1" applyFill="1" applyBorder="1" applyAlignment="1">
      <alignment horizontal="center" vertical="center"/>
    </xf>
    <xf numFmtId="0" fontId="9" fillId="0" borderId="0" xfId="10" applyFont="1" applyAlignment="1">
      <alignment horizontal="center" vertical="center"/>
    </xf>
    <xf numFmtId="0" fontId="15" fillId="0" borderId="0" xfId="3" applyFont="1" applyBorder="1" applyAlignment="1">
      <alignment horizontal="right" vertical="center" wrapText="1" indent="1"/>
    </xf>
    <xf numFmtId="0" fontId="14" fillId="0" borderId="0" xfId="2" applyFont="1" applyAlignment="1">
      <alignment horizontal="right" vertical="center" wrapText="1" indent="1"/>
    </xf>
    <xf numFmtId="0" fontId="22" fillId="4" borderId="0" xfId="1" applyFont="1" applyFill="1" applyAlignment="1">
      <alignment horizontal="center" vertical="center"/>
    </xf>
  </cellXfs>
  <cellStyles count="11">
    <cellStyle name="Comma" xfId="6" builtinId="3" customBuiltin="1"/>
    <cellStyle name="Currency" xfId="7" builtinId="4" customBuiltin="1"/>
    <cellStyle name="Heading 1" xfId="1" builtinId="16" customBuiltin="1"/>
    <cellStyle name="Heading 2" xfId="2" builtinId="17" customBuiltin="1"/>
    <cellStyle name="Heading 3" xfId="3" builtinId="18" customBuiltin="1"/>
    <cellStyle name="Input" xfId="4" builtinId="20" customBuiltin="1"/>
    <cellStyle name="Normal" xfId="0" builtinId="0" customBuiltin="1"/>
    <cellStyle name="Note" xfId="10" builtinId="10" customBuiltin="1"/>
    <cellStyle name="Output" xfId="9" builtinId="21" customBuiltin="1"/>
    <cellStyle name="Percent" xfId="8" builtinId="5" customBuiltin="1"/>
    <cellStyle name="Title" xfId="5" builtinId="15" customBuiltin="1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0176011859831946E-2"/>
          <c:y val="0.13982189068471704"/>
          <c:w val="0.90080686659729647"/>
          <c:h val="0.75136602661509422"/>
        </c:manualLayout>
      </c:layout>
      <c:areaChart>
        <c:grouping val="stacked"/>
        <c:varyColors val="0"/>
        <c:ser>
          <c:idx val="2"/>
          <c:order val="0"/>
          <c:tx>
            <c:v>Minus</c:v>
          </c:tx>
          <c:spPr>
            <a:noFill/>
            <a:ln w="25400">
              <a:noFill/>
            </a:ln>
          </c:spPr>
          <c:cat>
            <c:strRef>
              <c:f>Calculations!$A$16:$A$115</c:f>
              <c:strCache>
                <c:ptCount val="6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</c:strCache>
            </c:strRef>
          </c:cat>
          <c:val>
            <c:numRef>
              <c:f>[0]!UncertaintyCone_Under</c:f>
              <c:numCache>
                <c:formatCode>#,##0</c:formatCode>
                <c:ptCount val="60"/>
                <c:pt idx="0">
                  <c:v>6000</c:v>
                </c:pt>
                <c:pt idx="1">
                  <c:v>12240</c:v>
                </c:pt>
                <c:pt idx="2">
                  <c:v>18729.599999999999</c:v>
                </c:pt>
                <c:pt idx="3">
                  <c:v>25478.784</c:v>
                </c:pt>
                <c:pt idx="4">
                  <c:v>32497.935359999999</c:v>
                </c:pt>
                <c:pt idx="5">
                  <c:v>39797.852774400002</c:v>
                </c:pt>
                <c:pt idx="6">
                  <c:v>47389.766885376004</c:v>
                </c:pt>
                <c:pt idx="7">
                  <c:v>55285.357560791046</c:v>
                </c:pt>
                <c:pt idx="8">
                  <c:v>63496.77186322269</c:v>
                </c:pt>
                <c:pt idx="9">
                  <c:v>72036.642737751594</c:v>
                </c:pt>
                <c:pt idx="10">
                  <c:v>80918.108447261664</c:v>
                </c:pt>
                <c:pt idx="11">
                  <c:v>90154.832785152132</c:v>
                </c:pt>
                <c:pt idx="12">
                  <c:v>99761.026096558213</c:v>
                </c:pt>
                <c:pt idx="13">
                  <c:v>109751.46714042054</c:v>
                </c:pt>
                <c:pt idx="14">
                  <c:v>120141.52582603737</c:v>
                </c:pt>
                <c:pt idx="15">
                  <c:v>130947.18685907887</c:v>
                </c:pt>
                <c:pt idx="16">
                  <c:v>142185.07433344203</c:v>
                </c:pt>
                <c:pt idx="17">
                  <c:v>153872.47730677971</c:v>
                </c:pt>
                <c:pt idx="18">
                  <c:v>166027.3763990509</c:v>
                </c:pt>
                <c:pt idx="19">
                  <c:v>178668.47145501294</c:v>
                </c:pt>
                <c:pt idx="20">
                  <c:v>191815.21031321347</c:v>
                </c:pt>
                <c:pt idx="21">
                  <c:v>205487.81872574199</c:v>
                </c:pt>
                <c:pt idx="22">
                  <c:v>219707.33147477166</c:v>
                </c:pt>
                <c:pt idx="23">
                  <c:v>234495.62473376252</c:v>
                </c:pt>
                <c:pt idx="24">
                  <c:v>249875.44972311304</c:v>
                </c:pt>
                <c:pt idx="25">
                  <c:v>265870.46771203756</c:v>
                </c:pt>
                <c:pt idx="26">
                  <c:v>282505.28642051906</c:v>
                </c:pt>
                <c:pt idx="27">
                  <c:v>299805.49787733983</c:v>
                </c:pt>
                <c:pt idx="28">
                  <c:v>317797.71779243345</c:v>
                </c:pt>
                <c:pt idx="29">
                  <c:v>336509.62650413078</c:v>
                </c:pt>
                <c:pt idx="30">
                  <c:v>355970.01156429603</c:v>
                </c:pt>
                <c:pt idx="31">
                  <c:v>376208.81202686788</c:v>
                </c:pt>
                <c:pt idx="32">
                  <c:v>397257.16450794257</c:v>
                </c:pt>
                <c:pt idx="33">
                  <c:v>419147.45108826028</c:v>
                </c:pt>
                <c:pt idx="34">
                  <c:v>441913.34913179069</c:v>
                </c:pt>
                <c:pt idx="35">
                  <c:v>465589.88309706229</c:v>
                </c:pt>
                <c:pt idx="36">
                  <c:v>490213.47842094477</c:v>
                </c:pt>
                <c:pt idx="37">
                  <c:v>515822.01755778259</c:v>
                </c:pt>
                <c:pt idx="38">
                  <c:v>542454.89826009388</c:v>
                </c:pt>
                <c:pt idx="39">
                  <c:v>570153.09419049765</c:v>
                </c:pt>
                <c:pt idx="40">
                  <c:v>576276.06247760681</c:v>
                </c:pt>
                <c:pt idx="41">
                  <c:v>582055.01075466909</c:v>
                </c:pt>
                <c:pt idx="42">
                  <c:v>587472.315082332</c:v>
                </c:pt>
                <c:pt idx="43">
                  <c:v>592509.6788509757</c:v>
                </c:pt>
                <c:pt idx="44">
                  <c:v>597148.10867892951</c:v>
                </c:pt>
                <c:pt idx="45">
                  <c:v>601367.88946154341</c:v>
                </c:pt>
                <c:pt idx="46">
                  <c:v>605148.55854133726</c:v>
                </c:pt>
                <c:pt idx="47">
                  <c:v>608468.87896841043</c:v>
                </c:pt>
                <c:pt idx="48">
                  <c:v>611306.81181921228</c:v>
                </c:pt>
                <c:pt idx="49">
                  <c:v>613639.48754066136</c:v>
                </c:pt>
                <c:pt idx="50">
                  <c:v>615443.17628543894</c:v>
                </c:pt>
                <c:pt idx="51">
                  <c:v>616693.25720309233</c:v>
                </c:pt>
                <c:pt idx="52">
                  <c:v>617364.1866503401</c:v>
                </c:pt>
                <c:pt idx="53">
                  <c:v>617429.46528269304</c:v>
                </c:pt>
                <c:pt idx="54">
                  <c:v>616861.60398817412</c:v>
                </c:pt>
                <c:pt idx="55">
                  <c:v>615632.08862255304</c:v>
                </c:pt>
                <c:pt idx="56">
                  <c:v>613711.34350408311</c:v>
                </c:pt>
                <c:pt idx="57">
                  <c:v>611068.69362426409</c:v>
                </c:pt>
                <c:pt idx="58">
                  <c:v>607672.3255296268</c:v>
                </c:pt>
                <c:pt idx="59">
                  <c:v>603489.24682796234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7-446F-9EF2-89BFFEC2F2D2}"/>
            </c:ext>
          </c:extLst>
        </c:ser>
        <c:ser>
          <c:idx val="1"/>
          <c:order val="1"/>
          <c:tx>
            <c:v> Cone of uncertainty</c:v>
          </c:tx>
          <c:spPr>
            <a:solidFill>
              <a:schemeClr val="accent5">
                <a:lumMod val="20000"/>
                <a:lumOff val="80000"/>
                <a:alpha val="55000"/>
              </a:schemeClr>
            </a:solidFill>
            <a:ln w="25400">
              <a:noFill/>
            </a:ln>
          </c:spPr>
          <c:cat>
            <c:strRef>
              <c:f>Calculations!$A$16:$A$115</c:f>
              <c:strCache>
                <c:ptCount val="6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</c:strCache>
            </c:strRef>
          </c:cat>
          <c:val>
            <c:numRef>
              <c:f>[0]!UncertaintyCone_Over</c:f>
              <c:numCache>
                <c:formatCode>#,##0</c:formatCode>
                <c:ptCount val="60"/>
                <c:pt idx="0">
                  <c:v>0</c:v>
                </c:pt>
                <c:pt idx="1">
                  <c:v>120</c:v>
                </c:pt>
                <c:pt idx="2">
                  <c:v>372</c:v>
                </c:pt>
                <c:pt idx="3">
                  <c:v>768.91200000000026</c:v>
                </c:pt>
                <c:pt idx="4">
                  <c:v>1324.6223999999966</c:v>
                </c:pt>
                <c:pt idx="5">
                  <c:v>2054.0584511999914</c:v>
                </c:pt>
                <c:pt idx="6">
                  <c:v>2973.2590137599909</c:v>
                </c:pt>
                <c:pt idx="7">
                  <c:v>4099.4498922931089</c:v>
                </c:pt>
                <c:pt idx="8">
                  <c:v>5451.1240370465239</c:v>
                </c:pt>
                <c:pt idx="9">
                  <c:v>7048.1269165337726</c:v>
                </c:pt>
                <c:pt idx="10">
                  <c:v>8911.7473862808256</c:v>
                </c:pt>
                <c:pt idx="11">
                  <c:v>11064.814398402901</c:v>
                </c:pt>
                <c:pt idx="12">
                  <c:v>13531.799918010118</c:v>
                </c:pt>
                <c:pt idx="13">
                  <c:v>16338.928435021895</c:v>
                </c:pt>
                <c:pt idx="14">
                  <c:v>19514.293483931629</c:v>
                </c:pt>
                <c:pt idx="15">
                  <c:v>23087.98160948827</c:v>
                </c:pt>
                <c:pt idx="16">
                  <c:v>27092.204243239132</c:v>
                </c:pt>
                <c:pt idx="17">
                  <c:v>31561.437984502321</c:v>
                </c:pt>
                <c:pt idx="18">
                  <c:v>36532.573809708032</c:v>
                </c:pt>
                <c:pt idx="19">
                  <c:v>42045.075766271533</c:v>
                </c:pt>
                <c:pt idx="20">
                  <c:v>48141.149741348083</c:v>
                </c:pt>
                <c:pt idx="21">
                  <c:v>54865.922932093265</c:v>
                </c:pt>
                <c:pt idx="22">
                  <c:v>62267.63468253368</c:v>
                </c:pt>
                <c:pt idx="23">
                  <c:v>70397.839392981143</c:v>
                </c:pt>
                <c:pt idx="24">
                  <c:v>79311.62225123524</c:v>
                </c:pt>
                <c:pt idx="25">
                  <c:v>89067.828580771631</c:v>
                </c:pt>
                <c:pt idx="26">
                  <c:v>99729.307649858703</c:v>
                </c:pt>
                <c:pt idx="27">
                  <c:v>111363.1718372606</c:v>
                </c:pt>
                <c:pt idx="28">
                  <c:v>124041.07210504299</c:v>
                </c:pt>
                <c:pt idx="29">
                  <c:v>137839.49078719423</c:v>
                </c:pt>
                <c:pt idx="30">
                  <c:v>152840.05276450847</c:v>
                </c:pt>
                <c:pt idx="31">
                  <c:v>169129.85616166494</c:v>
                </c:pt>
                <c:pt idx="32">
                  <c:v>186801.82377190219</c:v>
                </c:pt>
                <c:pt idx="33">
                  <c:v>205955.0764883752</c:v>
                </c:pt>
                <c:pt idx="34">
                  <c:v>226695.33009944297</c:v>
                </c:pt>
                <c:pt idx="35">
                  <c:v>249135.31688804534</c:v>
                </c:pt>
                <c:pt idx="36">
                  <c:v>273395.23356326937</c:v>
                </c:pt>
                <c:pt idx="37">
                  <c:v>299603.21714548441</c:v>
                </c:pt>
                <c:pt idx="38">
                  <c:v>327895.85052536917</c:v>
                </c:pt>
                <c:pt idx="39">
                  <c:v>358418.69952209317</c:v>
                </c:pt>
                <c:pt idx="40">
                  <c:v>389534.78987961821</c:v>
                </c:pt>
                <c:pt idx="41">
                  <c:v>422484.72457254934</c:v>
                </c:pt>
                <c:pt idx="42">
                  <c:v>457362.48463913286</c:v>
                </c:pt>
                <c:pt idx="43">
                  <c:v>494266.86759593186</c:v>
                </c:pt>
                <c:pt idx="44">
                  <c:v>533301.73889072752</c:v>
                </c:pt>
                <c:pt idx="45">
                  <c:v>574576.29670329602</c:v>
                </c:pt>
                <c:pt idx="46">
                  <c:v>618205.35081120837</c:v>
                </c:pt>
                <c:pt idx="47">
                  <c:v>664309.61627665139</c:v>
                </c:pt>
                <c:pt idx="48">
                  <c:v>713016.02275123564</c:v>
                </c:pt>
                <c:pt idx="49">
                  <c:v>764458.04023893783</c:v>
                </c:pt>
                <c:pt idx="50">
                  <c:v>818776.02220289269</c:v>
                </c:pt>
                <c:pt idx="51">
                  <c:v>876117.56694976031</c:v>
                </c:pt>
                <c:pt idx="52">
                  <c:v>936637.89827605907</c:v>
                </c:pt>
                <c:pt idx="53">
                  <c:v>1000500.2664142489</c:v>
                </c:pt>
                <c:pt idx="54">
                  <c:v>1067876.3703726863</c:v>
                </c:pt>
                <c:pt idx="55">
                  <c:v>1138946.8028229475</c:v>
                </c:pt>
                <c:pt idx="56">
                  <c:v>1213901.5187506606</c:v>
                </c:pt>
                <c:pt idx="57">
                  <c:v>1292940.3291520285</c:v>
                </c:pt>
                <c:pt idx="58">
                  <c:v>1376273.4211278753</c:v>
                </c:pt>
                <c:pt idx="59">
                  <c:v>1464121.9058005009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7-446F-9EF2-89BFFEC2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48504"/>
        <c:axId val="305461176"/>
      </c:areaChart>
      <c:barChart>
        <c:barDir val="col"/>
        <c:grouping val="stacked"/>
        <c:varyColors val="0"/>
        <c:ser>
          <c:idx val="4"/>
          <c:order val="4"/>
          <c:tx>
            <c:v> Savings disbursements</c:v>
          </c:tx>
          <c:spPr>
            <a:solidFill>
              <a:schemeClr val="accent4">
                <a:lumMod val="60000"/>
                <a:lumOff val="40000"/>
              </a:schemeClr>
            </a:solidFill>
            <a:ln w="38100" cap="flat">
              <a:solidFill>
                <a:schemeClr val="accent4">
                  <a:lumMod val="60000"/>
                  <a:lumOff val="40000"/>
                </a:schemeClr>
              </a:solidFill>
              <a:miter lim="800000"/>
            </a:ln>
          </c:spPr>
          <c:invertIfNegative val="0"/>
          <c:val>
            <c:numRef>
              <c:f>[0]!SavingsBalance_Disbursements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55832.390009558309</c:v>
                </c:pt>
                <c:pt idx="41">
                  <c:v>56390.713909653896</c:v>
                </c:pt>
                <c:pt idx="42">
                  <c:v>56954.621048750443</c:v>
                </c:pt>
                <c:pt idx="43">
                  <c:v>57524.167259237933</c:v>
                </c:pt>
                <c:pt idx="44">
                  <c:v>58099.408931830316</c:v>
                </c:pt>
                <c:pt idx="45">
                  <c:v>58680.403021148617</c:v>
                </c:pt>
                <c:pt idx="46">
                  <c:v>59267.207051360114</c:v>
                </c:pt>
                <c:pt idx="47">
                  <c:v>59859.879121873695</c:v>
                </c:pt>
                <c:pt idx="48">
                  <c:v>60458.477913092451</c:v>
                </c:pt>
                <c:pt idx="49">
                  <c:v>61063.062692223379</c:v>
                </c:pt>
                <c:pt idx="50">
                  <c:v>61673.693319145619</c:v>
                </c:pt>
                <c:pt idx="51">
                  <c:v>62290.430252337057</c:v>
                </c:pt>
                <c:pt idx="52">
                  <c:v>62913.334554860434</c:v>
                </c:pt>
                <c:pt idx="53">
                  <c:v>63542.467900409029</c:v>
                </c:pt>
                <c:pt idx="54">
                  <c:v>64177.892579413136</c:v>
                </c:pt>
                <c:pt idx="55">
                  <c:v>64819.671505207254</c:v>
                </c:pt>
                <c:pt idx="56">
                  <c:v>65467.868220259341</c:v>
                </c:pt>
                <c:pt idx="57">
                  <c:v>66122.546902461938</c:v>
                </c:pt>
                <c:pt idx="58">
                  <c:v>66783.772371486557</c:v>
                </c:pt>
                <c:pt idx="59">
                  <c:v>67451.610095201409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7-446F-9EF2-89BFFEC2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305448504"/>
        <c:axId val="305461176"/>
      </c:barChart>
      <c:scatterChart>
        <c:scatterStyle val="smoothMarker"/>
        <c:varyColors val="0"/>
        <c:ser>
          <c:idx val="0"/>
          <c:order val="2"/>
          <c:tx>
            <c:v> Savings balance - working years</c:v>
          </c:tx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[0]!SavingsBalance_WorkingPeriod</c:f>
              <c:numCache>
                <c:formatCode>#,##0</c:formatCode>
                <c:ptCount val="60"/>
                <c:pt idx="0">
                  <c:v>6000</c:v>
                </c:pt>
                <c:pt idx="1">
                  <c:v>12300</c:v>
                </c:pt>
                <c:pt idx="2">
                  <c:v>18915</c:v>
                </c:pt>
                <c:pt idx="3">
                  <c:v>25860.75</c:v>
                </c:pt>
                <c:pt idx="4">
                  <c:v>33153.787499999999</c:v>
                </c:pt>
                <c:pt idx="5">
                  <c:v>40811.476875</c:v>
                </c:pt>
                <c:pt idx="6">
                  <c:v>48852.050718749997</c:v>
                </c:pt>
                <c:pt idx="7">
                  <c:v>57294.653254687495</c:v>
                </c:pt>
                <c:pt idx="8">
                  <c:v>66159.385917421867</c:v>
                </c:pt>
                <c:pt idx="9">
                  <c:v>75467.355213292962</c:v>
                </c:pt>
                <c:pt idx="10">
                  <c:v>85240.722973957614</c:v>
                </c:pt>
                <c:pt idx="11">
                  <c:v>95502.759122655494</c:v>
                </c:pt>
                <c:pt idx="12">
                  <c:v>106277.89707878827</c:v>
                </c:pt>
                <c:pt idx="13">
                  <c:v>117591.79193272769</c:v>
                </c:pt>
                <c:pt idx="14">
                  <c:v>129471.38152936408</c:v>
                </c:pt>
                <c:pt idx="15">
                  <c:v>141944.95060583227</c:v>
                </c:pt>
                <c:pt idx="16">
                  <c:v>155042.19813612389</c:v>
                </c:pt>
                <c:pt idx="17">
                  <c:v>168794.30804293009</c:v>
                </c:pt>
                <c:pt idx="18">
                  <c:v>183234.0234450766</c:v>
                </c:pt>
                <c:pt idx="19">
                  <c:v>198395.72461733042</c:v>
                </c:pt>
                <c:pt idx="20">
                  <c:v>214315.51084819692</c:v>
                </c:pt>
                <c:pt idx="21">
                  <c:v>231031.28639060678</c:v>
                </c:pt>
                <c:pt idx="22">
                  <c:v>248582.85071013711</c:v>
                </c:pt>
                <c:pt idx="23">
                  <c:v>267011.99324564397</c:v>
                </c:pt>
                <c:pt idx="24">
                  <c:v>286362.59290792618</c:v>
                </c:pt>
                <c:pt idx="25">
                  <c:v>306680.7225533225</c:v>
                </c:pt>
                <c:pt idx="26">
                  <c:v>328014.75868098863</c:v>
                </c:pt>
                <c:pt idx="27">
                  <c:v>350415.49661503808</c:v>
                </c:pt>
                <c:pt idx="28">
                  <c:v>373936.27144578996</c:v>
                </c:pt>
                <c:pt idx="29">
                  <c:v>398633.08501807944</c:v>
                </c:pt>
                <c:pt idx="30">
                  <c:v>424564.73926898342</c:v>
                </c:pt>
                <c:pt idx="31">
                  <c:v>451792.97623243259</c:v>
                </c:pt>
                <c:pt idx="32">
                  <c:v>480382.62504405424</c:v>
                </c:pt>
                <c:pt idx="33">
                  <c:v>510401.75629625696</c:v>
                </c:pt>
                <c:pt idx="34">
                  <c:v>541921.8441110698</c:v>
                </c:pt>
                <c:pt idx="35">
                  <c:v>575017.93631662335</c:v>
                </c:pt>
                <c:pt idx="36">
                  <c:v>609768.83313245454</c:v>
                </c:pt>
                <c:pt idx="37">
                  <c:v>646257.27478907723</c:v>
                </c:pt>
                <c:pt idx="38">
                  <c:v>684570.13852853107</c:v>
                </c:pt>
                <c:pt idx="39">
                  <c:v>724798.64545495762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37-446F-9EF2-89BFFEC2F2D2}"/>
            </c:ext>
          </c:extLst>
        </c:ser>
        <c:ser>
          <c:idx val="3"/>
          <c:order val="3"/>
          <c:tx>
            <c:v> Savings balance - retirement</c:v>
          </c:tx>
          <c:spPr>
            <a:ln w="28575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[0]!SavingsBalance_RetiredPeriod</c:f>
              <c:numCache>
                <c:formatCode>#,##0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724798.64545495762</c:v>
                </c:pt>
                <c:pt idx="40">
                  <c:v>743582.19449087244</c:v>
                </c:pt>
                <c:pt idx="41">
                  <c:v>762652.67933330778</c:v>
                </c:pt>
                <c:pt idx="42">
                  <c:v>782017.42885455617</c:v>
                </c:pt>
                <c:pt idx="43">
                  <c:v>801684.0458937732</c:v>
                </c:pt>
                <c:pt idx="44">
                  <c:v>821660.41902716272</c:v>
                </c:pt>
                <c:pt idx="45">
                  <c:v>841954.73486223642</c:v>
                </c:pt>
                <c:pt idx="46">
                  <c:v>862575.49087967689</c:v>
                </c:pt>
                <c:pt idx="47">
                  <c:v>883531.50884738867</c:v>
                </c:pt>
                <c:pt idx="48">
                  <c:v>904831.94883242866</c:v>
                </c:pt>
                <c:pt idx="49">
                  <c:v>926486.32383766456</c:v>
                </c:pt>
                <c:pt idx="50">
                  <c:v>948504.51509121386</c:v>
                </c:pt>
                <c:pt idx="51">
                  <c:v>970896.78801798145</c:v>
                </c:pt>
                <c:pt idx="52">
                  <c:v>993673.80892393016</c:v>
                </c:pt>
                <c:pt idx="53">
                  <c:v>1016846.662425098</c:v>
                </c:pt>
                <c:pt idx="54">
                  <c:v>1040426.8696548144</c:v>
                </c:pt>
                <c:pt idx="55">
                  <c:v>1064426.4072840738</c:v>
                </c:pt>
                <c:pt idx="56">
                  <c:v>1088857.7273915978</c:v>
                </c:pt>
                <c:pt idx="57">
                  <c:v>1113733.7782217578</c:v>
                </c:pt>
                <c:pt idx="58">
                  <c:v>1139068.0258702503</c:v>
                </c:pt>
                <c:pt idx="59">
                  <c:v>1164874.4769392102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37-446F-9EF2-89BFFEC2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48504"/>
        <c:axId val="305461176"/>
      </c:scatterChart>
      <c:catAx>
        <c:axId val="30544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chemeClr val="bg2">
                <a:lumMod val="90000"/>
                <a:alpha val="7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</a:defRPr>
            </a:pPr>
            <a:endParaRPr lang="en-US"/>
          </a:p>
        </c:txPr>
        <c:crossAx val="305461176"/>
        <c:crosses val="autoZero"/>
        <c:auto val="1"/>
        <c:lblAlgn val="ctr"/>
        <c:lblOffset val="100"/>
        <c:noMultiLvlLbl val="0"/>
      </c:catAx>
      <c:valAx>
        <c:axId val="305461176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chemeClr val="bg2">
                  <a:alpha val="75000"/>
                </a:schemeClr>
              </a:solidFill>
            </a:ln>
            <a:effectLst/>
          </c:spPr>
        </c:majorGridlines>
        <c:numFmt formatCode="&quot;$&quot;#,##0" sourceLinked="0"/>
        <c:majorTickMark val="none"/>
        <c:minorTickMark val="none"/>
        <c:tickLblPos val="high"/>
        <c:spPr>
          <a:ln>
            <a:noFill/>
          </a:ln>
        </c:spPr>
        <c:txPr>
          <a:bodyPr/>
          <a:lstStyle/>
          <a:p>
            <a:pPr>
              <a:defRPr sz="11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305448504"/>
        <c:crosses val="autoZero"/>
        <c:crossBetween val="between"/>
      </c:valAx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"/>
          <c:y val="9.7621366937930918E-3"/>
          <c:w val="0.91949888353508047"/>
          <c:h val="0.10331187548924806"/>
        </c:manualLayout>
      </c:layout>
      <c:overlay val="0"/>
      <c:txPr>
        <a:bodyPr/>
        <a:lstStyle/>
        <a:p>
          <a:pPr>
            <a:defRPr sz="1100" spc="5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9</xdr:col>
      <xdr:colOff>71967</xdr:colOff>
      <xdr:row>2</xdr:row>
      <xdr:rowOff>4188298</xdr:rowOff>
    </xdr:to>
    <xdr:graphicFrame macro="">
      <xdr:nvGraphicFramePr>
        <xdr:cNvPr id="2" name="Retirement Savings" descr="Combo Chart illustrating Savings Disbursements, Cone of Uncertainty, Working Years, and Retirement Savings Balanc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59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0DBB1"/>
      </a:accent1>
      <a:accent2>
        <a:srgbClr val="ED7D31"/>
      </a:accent2>
      <a:accent3>
        <a:srgbClr val="A5A5A5"/>
      </a:accent3>
      <a:accent4>
        <a:srgbClr val="9DA765"/>
      </a:accent4>
      <a:accent5>
        <a:srgbClr val="69A1BB"/>
      </a:accent5>
      <a:accent6>
        <a:srgbClr val="474D4A"/>
      </a:accent6>
      <a:hlink>
        <a:srgbClr val="0070C0"/>
      </a:hlink>
      <a:folHlink>
        <a:srgbClr val="954F72"/>
      </a:folHlink>
    </a:clrScheme>
    <a:fontScheme name="Custom 29">
      <a:majorFont>
        <a:latin typeface="Georg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I115"/>
  <sheetViews>
    <sheetView showGridLines="0" zoomScale="150" zoomScaleNormal="150" workbookViewId="0">
      <selection sqref="A1:I1"/>
    </sheetView>
  </sheetViews>
  <sheetFormatPr baseColWidth="10" defaultColWidth="9.33203125" defaultRowHeight="18" customHeight="1" x14ac:dyDescent="0.15"/>
  <cols>
    <col min="1" max="2" width="19.83203125" style="1" customWidth="1"/>
    <col min="3" max="3" width="15.83203125" style="1" customWidth="1"/>
    <col min="4" max="5" width="19.83203125" style="1" customWidth="1"/>
    <col min="6" max="6" width="15.83203125" style="1" customWidth="1"/>
    <col min="7" max="8" width="19.83203125" style="1" customWidth="1"/>
    <col min="9" max="9" width="15.83203125" style="1" customWidth="1"/>
    <col min="10" max="10" width="1.83203125" style="1" customWidth="1"/>
    <col min="11" max="16384" width="9.33203125" style="1"/>
  </cols>
  <sheetData>
    <row r="1" spans="1:9" ht="104.25" customHeight="1" x14ac:dyDescent="0.15">
      <c r="A1" s="40" t="s">
        <v>44</v>
      </c>
      <c r="B1" s="41"/>
      <c r="C1" s="41"/>
      <c r="D1" s="41"/>
      <c r="E1" s="41"/>
      <c r="F1" s="41"/>
      <c r="G1" s="41"/>
      <c r="H1" s="41"/>
      <c r="I1" s="41"/>
    </row>
    <row r="2" spans="1:9" s="39" customFormat="1" ht="46" customHeight="1" x14ac:dyDescent="0.15">
      <c r="A2" s="44" t="str">
        <f>IF(INDEX(SavingsBalance_RetiredPeriod,PlanYears)&gt;=0,CONCATENATE(ResultsDisplay_Success_1,"  ",ResultsDisplay_Success_2, " ",ResultsDisplay_Success_3," ",ResultsDisplay_Success_4," ",ResultsDisplay_Success_5),CONCATENATE(ResultsDisplay_Failure_1,"  ",ResultsDisplay_Failure_2," ",ResultsDisplay_Failure_3," ",ResultsDisplay_Failure_4))</f>
        <v>Congratulations!  At age 84, you will have a savings balance of $1,164,874.</v>
      </c>
      <c r="B2" s="45"/>
      <c r="C2" s="45"/>
      <c r="D2" s="45"/>
      <c r="E2" s="45"/>
      <c r="F2" s="45"/>
      <c r="G2" s="45"/>
      <c r="H2" s="45"/>
      <c r="I2" s="45"/>
    </row>
    <row r="3" spans="1:9" ht="336" customHeight="1" x14ac:dyDescent="0.15">
      <c r="A3" s="46"/>
      <c r="B3" s="46"/>
      <c r="C3" s="46"/>
      <c r="D3" s="46"/>
      <c r="E3" s="46"/>
      <c r="F3" s="46"/>
      <c r="G3" s="46"/>
      <c r="H3" s="46"/>
      <c r="I3" s="46"/>
    </row>
    <row r="4" spans="1:9" s="17" customFormat="1" ht="46" customHeight="1" x14ac:dyDescent="0.15">
      <c r="A4" s="42" t="s">
        <v>41</v>
      </c>
      <c r="B4" s="43"/>
      <c r="C4" s="43"/>
      <c r="D4" s="43"/>
      <c r="E4" s="43"/>
      <c r="F4" s="43"/>
      <c r="G4" s="43"/>
      <c r="H4" s="43"/>
      <c r="I4" s="43"/>
    </row>
    <row r="5" spans="1:9" s="38" customFormat="1" ht="51" customHeight="1" thickBot="1" x14ac:dyDescent="0.2">
      <c r="A5" s="33"/>
      <c r="B5" s="34" t="s">
        <v>45</v>
      </c>
      <c r="C5" s="37" t="s">
        <v>46</v>
      </c>
      <c r="D5" s="48" t="s">
        <v>42</v>
      </c>
      <c r="E5" s="48"/>
      <c r="F5" s="37" t="s">
        <v>46</v>
      </c>
      <c r="G5" s="48" t="s">
        <v>43</v>
      </c>
      <c r="H5" s="48"/>
      <c r="I5" s="37" t="s">
        <v>46</v>
      </c>
    </row>
    <row r="6" spans="1:9" ht="24" customHeight="1" thickTop="1" thickBot="1" x14ac:dyDescent="0.2">
      <c r="A6" s="15"/>
      <c r="B6" s="21" t="s">
        <v>13</v>
      </c>
      <c r="C6" s="24">
        <v>25</v>
      </c>
      <c r="D6" s="47" t="s">
        <v>20</v>
      </c>
      <c r="E6" s="47"/>
      <c r="F6" s="24">
        <v>42000</v>
      </c>
      <c r="G6" s="47" t="s">
        <v>25</v>
      </c>
      <c r="H6" s="47"/>
      <c r="I6" s="26">
        <v>0.02</v>
      </c>
    </row>
    <row r="7" spans="1:9" ht="24" customHeight="1" thickTop="1" thickBot="1" x14ac:dyDescent="0.2">
      <c r="A7" s="15"/>
      <c r="B7" s="21" t="s">
        <v>14</v>
      </c>
      <c r="C7" s="25">
        <v>50000</v>
      </c>
      <c r="D7" s="47" t="s">
        <v>21</v>
      </c>
      <c r="E7" s="47"/>
      <c r="F7" s="26">
        <v>0</v>
      </c>
      <c r="G7" s="47" t="s">
        <v>26</v>
      </c>
      <c r="H7" s="47"/>
      <c r="I7" s="26">
        <v>0</v>
      </c>
    </row>
    <row r="8" spans="1:9" ht="24" customHeight="1" thickTop="1" thickBot="1" x14ac:dyDescent="0.2">
      <c r="A8" s="16"/>
      <c r="B8" s="22" t="s">
        <v>15</v>
      </c>
      <c r="C8" s="26">
        <v>0.01</v>
      </c>
      <c r="D8" s="47" t="s">
        <v>22</v>
      </c>
      <c r="E8" s="47"/>
      <c r="F8" s="24">
        <v>65</v>
      </c>
      <c r="G8" s="47" t="s">
        <v>27</v>
      </c>
      <c r="H8" s="47"/>
      <c r="I8" s="26">
        <v>0</v>
      </c>
    </row>
    <row r="9" spans="1:9" ht="24" customHeight="1" thickTop="1" thickBot="1" x14ac:dyDescent="0.2">
      <c r="A9" s="15"/>
      <c r="B9" s="22" t="s">
        <v>16</v>
      </c>
      <c r="C9" s="25">
        <v>0</v>
      </c>
      <c r="D9" s="47" t="s">
        <v>23</v>
      </c>
      <c r="E9" s="47"/>
      <c r="F9" s="24">
        <v>20</v>
      </c>
      <c r="G9" s="47" t="s">
        <v>28</v>
      </c>
      <c r="H9" s="47"/>
      <c r="I9" s="26">
        <v>0</v>
      </c>
    </row>
    <row r="10" spans="1:9" ht="24" customHeight="1" thickTop="1" thickBot="1" x14ac:dyDescent="0.2">
      <c r="A10" s="16"/>
      <c r="B10" s="22" t="s">
        <v>17</v>
      </c>
      <c r="C10" s="25">
        <v>6000</v>
      </c>
      <c r="D10" s="47" t="s">
        <v>24</v>
      </c>
      <c r="E10" s="47"/>
      <c r="F10" s="26">
        <v>0.75</v>
      </c>
      <c r="G10" s="47" t="s">
        <v>33</v>
      </c>
      <c r="H10" s="47"/>
      <c r="I10" s="26">
        <v>0</v>
      </c>
    </row>
    <row r="11" spans="1:9" ht="24" customHeight="1" thickTop="1" thickBot="1" x14ac:dyDescent="0.2">
      <c r="A11" s="16"/>
      <c r="B11" s="22" t="s">
        <v>18</v>
      </c>
      <c r="C11" s="26">
        <v>0</v>
      </c>
      <c r="D11" s="47" t="s">
        <v>19</v>
      </c>
      <c r="E11" s="47"/>
      <c r="F11" s="26">
        <v>4.4999999999999998E-2</v>
      </c>
      <c r="G11" s="23"/>
      <c r="H11" s="23"/>
      <c r="I11" s="23"/>
    </row>
    <row r="12" spans="1:9" ht="24" customHeight="1" thickTop="1" thickBot="1" x14ac:dyDescent="0.2">
      <c r="A12" s="15"/>
      <c r="B12" s="21" t="s">
        <v>19</v>
      </c>
      <c r="C12" s="26">
        <v>0.05</v>
      </c>
      <c r="D12" s="23"/>
      <c r="E12" s="23"/>
      <c r="F12" s="23"/>
      <c r="G12" s="23"/>
      <c r="H12" s="23"/>
      <c r="I12" s="23"/>
    </row>
    <row r="13" spans="1:9" ht="26" customHeight="1" thickTop="1" x14ac:dyDescent="0.15"/>
    <row r="14" spans="1:9" s="5" customFormat="1" ht="46" customHeight="1" x14ac:dyDescent="0.15">
      <c r="A14" s="49" t="s">
        <v>34</v>
      </c>
      <c r="B14" s="49"/>
      <c r="C14" s="49"/>
      <c r="D14" s="49"/>
      <c r="E14" s="49"/>
      <c r="F14" s="49"/>
      <c r="G14" s="49"/>
      <c r="H14" s="49"/>
      <c r="I14" s="49"/>
    </row>
    <row r="15" spans="1:9" ht="51" customHeight="1" x14ac:dyDescent="0.15">
      <c r="A15" s="18" t="s">
        <v>0</v>
      </c>
      <c r="B15" s="35" t="s">
        <v>1</v>
      </c>
      <c r="C15" s="35" t="s">
        <v>2</v>
      </c>
      <c r="D15" s="35" t="s">
        <v>3</v>
      </c>
      <c r="E15" s="35" t="s">
        <v>29</v>
      </c>
      <c r="F15" s="35" t="s">
        <v>30</v>
      </c>
      <c r="G15" s="35" t="s">
        <v>31</v>
      </c>
      <c r="H15" s="18" t="s">
        <v>32</v>
      </c>
    </row>
    <row r="16" spans="1:9" ht="24" customHeight="1" x14ac:dyDescent="0.15">
      <c r="A16" s="19">
        <f>IFERROR(Calculations!A16,"")</f>
        <v>25</v>
      </c>
      <c r="B16" s="36">
        <f>IFERROR(Calculations!B16,"")</f>
        <v>50000</v>
      </c>
      <c r="C16" s="36">
        <f>IFERROR(Calculations!C16,"")</f>
        <v>0</v>
      </c>
      <c r="D16" s="36">
        <f>IFERROR(Calculations!D16,"")</f>
        <v>0</v>
      </c>
      <c r="E16" s="36">
        <f>IFERROR(Calculations!E16,"")</f>
        <v>6000</v>
      </c>
      <c r="F16" s="36">
        <f>IFERROR(Calculations!F16,"")</f>
        <v>0</v>
      </c>
      <c r="G16" s="36">
        <f>IFERROR(Calculations!G16,"")</f>
        <v>0</v>
      </c>
      <c r="H16" s="20">
        <f>IFERROR(Calculations!H16,"")</f>
        <v>6000</v>
      </c>
      <c r="I16" s="31"/>
    </row>
    <row r="17" spans="1:9" ht="24" customHeight="1" x14ac:dyDescent="0.15">
      <c r="A17" s="19">
        <f>IFERROR(Calculations!A17,"")</f>
        <v>26</v>
      </c>
      <c r="B17" s="36">
        <f>IFERROR(Calculations!B17,"")</f>
        <v>50500</v>
      </c>
      <c r="C17" s="36">
        <f>IFERROR(Calculations!C17,"")</f>
        <v>6000</v>
      </c>
      <c r="D17" s="36">
        <f>IFERROR(Calculations!D17,"")</f>
        <v>300</v>
      </c>
      <c r="E17" s="36">
        <f>IFERROR(Calculations!E17,"")</f>
        <v>6000</v>
      </c>
      <c r="F17" s="36">
        <f>IFERROR(Calculations!F17,"")</f>
        <v>0</v>
      </c>
      <c r="G17" s="36">
        <f>IFERROR(Calculations!G17,"")</f>
        <v>0</v>
      </c>
      <c r="H17" s="20">
        <f>IFERROR(Calculations!H17,"")</f>
        <v>12300</v>
      </c>
      <c r="I17" s="30"/>
    </row>
    <row r="18" spans="1:9" ht="24" customHeight="1" x14ac:dyDescent="0.15">
      <c r="A18" s="19">
        <f>IFERROR(Calculations!A18,"")</f>
        <v>27</v>
      </c>
      <c r="B18" s="36">
        <f>IFERROR(Calculations!B18,"")</f>
        <v>51005</v>
      </c>
      <c r="C18" s="36">
        <f>IFERROR(Calculations!C18,"")</f>
        <v>12300</v>
      </c>
      <c r="D18" s="36">
        <f>IFERROR(Calculations!D18,"")</f>
        <v>615</v>
      </c>
      <c r="E18" s="36">
        <f>IFERROR(Calculations!E18,"")</f>
        <v>6000</v>
      </c>
      <c r="F18" s="36">
        <f>IFERROR(Calculations!F18,"")</f>
        <v>0</v>
      </c>
      <c r="G18" s="36">
        <f>IFERROR(Calculations!G18,"")</f>
        <v>0</v>
      </c>
      <c r="H18" s="20">
        <f>IFERROR(Calculations!H18,"")</f>
        <v>18915</v>
      </c>
      <c r="I18" s="29"/>
    </row>
    <row r="19" spans="1:9" ht="24" customHeight="1" x14ac:dyDescent="0.15">
      <c r="A19" s="19">
        <f>IFERROR(Calculations!A19,"")</f>
        <v>28</v>
      </c>
      <c r="B19" s="36">
        <f>IFERROR(Calculations!B19,"")</f>
        <v>51515.05</v>
      </c>
      <c r="C19" s="36">
        <f>IFERROR(Calculations!C19,"")</f>
        <v>18915</v>
      </c>
      <c r="D19" s="36">
        <f>IFERROR(Calculations!D19,"")</f>
        <v>945.75</v>
      </c>
      <c r="E19" s="36">
        <f>IFERROR(Calculations!E19,"")</f>
        <v>6000</v>
      </c>
      <c r="F19" s="36">
        <f>IFERROR(Calculations!F19,"")</f>
        <v>0</v>
      </c>
      <c r="G19" s="36">
        <f>IFERROR(Calculations!G19,"")</f>
        <v>0</v>
      </c>
      <c r="H19" s="20">
        <f>IFERROR(Calculations!H19,"")</f>
        <v>25860.75</v>
      </c>
      <c r="I19" s="27"/>
    </row>
    <row r="20" spans="1:9" ht="24" customHeight="1" x14ac:dyDescent="0.15">
      <c r="A20" s="19">
        <f>IFERROR(Calculations!A20,"")</f>
        <v>29</v>
      </c>
      <c r="B20" s="36">
        <f>IFERROR(Calculations!B20,"")</f>
        <v>52030.200500000006</v>
      </c>
      <c r="C20" s="36">
        <f>IFERROR(Calculations!C20,"")</f>
        <v>25860.75</v>
      </c>
      <c r="D20" s="36">
        <f>IFERROR(Calculations!D20,"")</f>
        <v>1293.0375000000001</v>
      </c>
      <c r="E20" s="36">
        <f>IFERROR(Calculations!E20,"")</f>
        <v>6000</v>
      </c>
      <c r="F20" s="36">
        <f>IFERROR(Calculations!F20,"")</f>
        <v>0</v>
      </c>
      <c r="G20" s="36">
        <f>IFERROR(Calculations!G20,"")</f>
        <v>0</v>
      </c>
      <c r="H20" s="20">
        <f>IFERROR(Calculations!H20,"")</f>
        <v>33153.787499999999</v>
      </c>
      <c r="I20" s="28"/>
    </row>
    <row r="21" spans="1:9" ht="24" customHeight="1" x14ac:dyDescent="0.15">
      <c r="A21" s="19">
        <f>IFERROR(Calculations!A21,"")</f>
        <v>30</v>
      </c>
      <c r="B21" s="36">
        <f>IFERROR(Calculations!B21,"")</f>
        <v>52550.502505000004</v>
      </c>
      <c r="C21" s="36">
        <f>IFERROR(Calculations!C21,"")</f>
        <v>33153.787499999999</v>
      </c>
      <c r="D21" s="36">
        <f>IFERROR(Calculations!D21,"")</f>
        <v>1657.6893749999999</v>
      </c>
      <c r="E21" s="36">
        <f>IFERROR(Calculations!E21,"")</f>
        <v>6000</v>
      </c>
      <c r="F21" s="36">
        <f>IFERROR(Calculations!F21,"")</f>
        <v>0</v>
      </c>
      <c r="G21" s="36">
        <f>IFERROR(Calculations!G21,"")</f>
        <v>0</v>
      </c>
      <c r="H21" s="20">
        <f>IFERROR(Calculations!H21,"")</f>
        <v>40811.476875</v>
      </c>
      <c r="I21" s="27"/>
    </row>
    <row r="22" spans="1:9" ht="24" customHeight="1" x14ac:dyDescent="0.15">
      <c r="A22" s="19">
        <f>IFERROR(Calculations!A22,"")</f>
        <v>31</v>
      </c>
      <c r="B22" s="36">
        <f>IFERROR(Calculations!B22,"")</f>
        <v>53076.007530050003</v>
      </c>
      <c r="C22" s="36">
        <f>IFERROR(Calculations!C22,"")</f>
        <v>40811.476875</v>
      </c>
      <c r="D22" s="36">
        <f>IFERROR(Calculations!D22,"")</f>
        <v>2040.5738437500002</v>
      </c>
      <c r="E22" s="36">
        <f>IFERROR(Calculations!E22,"")</f>
        <v>6000</v>
      </c>
      <c r="F22" s="36">
        <f>IFERROR(Calculations!F22,"")</f>
        <v>0</v>
      </c>
      <c r="G22" s="36">
        <f>IFERROR(Calculations!G22,"")</f>
        <v>0</v>
      </c>
      <c r="H22" s="20">
        <f>IFERROR(Calculations!H22,"")</f>
        <v>48852.050718749997</v>
      </c>
      <c r="I22" s="28"/>
    </row>
    <row r="23" spans="1:9" ht="24" customHeight="1" x14ac:dyDescent="0.15">
      <c r="A23" s="19">
        <f>IFERROR(Calculations!A23,"")</f>
        <v>32</v>
      </c>
      <c r="B23" s="36">
        <f>IFERROR(Calculations!B23,"")</f>
        <v>53606.767605350506</v>
      </c>
      <c r="C23" s="36">
        <f>IFERROR(Calculations!C23,"")</f>
        <v>48852.050718749997</v>
      </c>
      <c r="D23" s="36">
        <f>IFERROR(Calculations!D23,"")</f>
        <v>2442.6025359374999</v>
      </c>
      <c r="E23" s="36">
        <f>IFERROR(Calculations!E23,"")</f>
        <v>6000</v>
      </c>
      <c r="F23" s="36">
        <f>IFERROR(Calculations!F23,"")</f>
        <v>0</v>
      </c>
      <c r="G23" s="36">
        <f>IFERROR(Calculations!G23,"")</f>
        <v>0</v>
      </c>
      <c r="H23" s="20">
        <f>IFERROR(Calculations!H23,"")</f>
        <v>57294.653254687495</v>
      </c>
      <c r="I23" s="27"/>
    </row>
    <row r="24" spans="1:9" ht="24" customHeight="1" x14ac:dyDescent="0.15">
      <c r="A24" s="19">
        <f>IFERROR(Calculations!A24,"")</f>
        <v>33</v>
      </c>
      <c r="B24" s="36">
        <f>IFERROR(Calculations!B24,"")</f>
        <v>54142.835281404012</v>
      </c>
      <c r="C24" s="36">
        <f>IFERROR(Calculations!C24,"")</f>
        <v>57294.653254687495</v>
      </c>
      <c r="D24" s="36">
        <f>IFERROR(Calculations!D24,"")</f>
        <v>2864.732662734375</v>
      </c>
      <c r="E24" s="36">
        <f>IFERROR(Calculations!E24,"")</f>
        <v>6000</v>
      </c>
      <c r="F24" s="36">
        <f>IFERROR(Calculations!F24,"")</f>
        <v>0</v>
      </c>
      <c r="G24" s="36">
        <f>IFERROR(Calculations!G24,"")</f>
        <v>0</v>
      </c>
      <c r="H24" s="20">
        <f>IFERROR(Calculations!H24,"")</f>
        <v>66159.385917421867</v>
      </c>
      <c r="I24" s="28"/>
    </row>
    <row r="25" spans="1:9" ht="24" customHeight="1" x14ac:dyDescent="0.15">
      <c r="A25" s="19">
        <f>IFERROR(Calculations!A25,"")</f>
        <v>34</v>
      </c>
      <c r="B25" s="36">
        <f>IFERROR(Calculations!B25,"")</f>
        <v>54684.263634218049</v>
      </c>
      <c r="C25" s="36">
        <f>IFERROR(Calculations!C25,"")</f>
        <v>66159.385917421867</v>
      </c>
      <c r="D25" s="36">
        <f>IFERROR(Calculations!D25,"")</f>
        <v>3307.9692958710934</v>
      </c>
      <c r="E25" s="36">
        <f>IFERROR(Calculations!E25,"")</f>
        <v>6000</v>
      </c>
      <c r="F25" s="36">
        <f>IFERROR(Calculations!F25,"")</f>
        <v>0</v>
      </c>
      <c r="G25" s="36">
        <f>IFERROR(Calculations!G25,"")</f>
        <v>0</v>
      </c>
      <c r="H25" s="20">
        <f>IFERROR(Calculations!H25,"")</f>
        <v>75467.355213292962</v>
      </c>
      <c r="I25" s="27"/>
    </row>
    <row r="26" spans="1:9" ht="24" customHeight="1" x14ac:dyDescent="0.15">
      <c r="A26" s="19">
        <f>IFERROR(Calculations!A26,"")</f>
        <v>35</v>
      </c>
      <c r="B26" s="36">
        <f>IFERROR(Calculations!B26,"")</f>
        <v>55231.106270560231</v>
      </c>
      <c r="C26" s="36">
        <f>IFERROR(Calculations!C26,"")</f>
        <v>75467.355213292962</v>
      </c>
      <c r="D26" s="36">
        <f>IFERROR(Calculations!D26,"")</f>
        <v>3773.3677606646484</v>
      </c>
      <c r="E26" s="36">
        <f>IFERROR(Calculations!E26,"")</f>
        <v>6000</v>
      </c>
      <c r="F26" s="36">
        <f>IFERROR(Calculations!F26,"")</f>
        <v>0</v>
      </c>
      <c r="G26" s="36">
        <f>IFERROR(Calculations!G26,"")</f>
        <v>0</v>
      </c>
      <c r="H26" s="20">
        <f>IFERROR(Calculations!H26,"")</f>
        <v>85240.722973957614</v>
      </c>
      <c r="I26" s="28"/>
    </row>
    <row r="27" spans="1:9" ht="24" customHeight="1" x14ac:dyDescent="0.15">
      <c r="A27" s="19">
        <f>IFERROR(Calculations!A27,"")</f>
        <v>36</v>
      </c>
      <c r="B27" s="36">
        <f>IFERROR(Calculations!B27,"")</f>
        <v>55783.417333265832</v>
      </c>
      <c r="C27" s="36">
        <f>IFERROR(Calculations!C27,"")</f>
        <v>85240.722973957614</v>
      </c>
      <c r="D27" s="36">
        <f>IFERROR(Calculations!D27,"")</f>
        <v>4262.0361486978809</v>
      </c>
      <c r="E27" s="36">
        <f>IFERROR(Calculations!E27,"")</f>
        <v>6000</v>
      </c>
      <c r="F27" s="36">
        <f>IFERROR(Calculations!F27,"")</f>
        <v>0</v>
      </c>
      <c r="G27" s="36">
        <f>IFERROR(Calculations!G27,"")</f>
        <v>0</v>
      </c>
      <c r="H27" s="20">
        <f>IFERROR(Calculations!H27,"")</f>
        <v>95502.759122655494</v>
      </c>
      <c r="I27" s="27"/>
    </row>
    <row r="28" spans="1:9" ht="24" customHeight="1" x14ac:dyDescent="0.15">
      <c r="A28" s="19">
        <f>IFERROR(Calculations!A28,"")</f>
        <v>37</v>
      </c>
      <c r="B28" s="36">
        <f>IFERROR(Calculations!B28,"")</f>
        <v>56341.251506598492</v>
      </c>
      <c r="C28" s="36">
        <f>IFERROR(Calculations!C28,"")</f>
        <v>95502.759122655494</v>
      </c>
      <c r="D28" s="36">
        <f>IFERROR(Calculations!D28,"")</f>
        <v>4775.1379561327749</v>
      </c>
      <c r="E28" s="36">
        <f>IFERROR(Calculations!E28,"")</f>
        <v>6000</v>
      </c>
      <c r="F28" s="36">
        <f>IFERROR(Calculations!F28,"")</f>
        <v>0</v>
      </c>
      <c r="G28" s="36">
        <f>IFERROR(Calculations!G28,"")</f>
        <v>0</v>
      </c>
      <c r="H28" s="20">
        <f>IFERROR(Calculations!H28,"")</f>
        <v>106277.89707878827</v>
      </c>
      <c r="I28" s="28"/>
    </row>
    <row r="29" spans="1:9" ht="24" customHeight="1" x14ac:dyDescent="0.15">
      <c r="A29" s="19">
        <f>IFERROR(Calculations!A29,"")</f>
        <v>38</v>
      </c>
      <c r="B29" s="36">
        <f>IFERROR(Calculations!B29,"")</f>
        <v>56904.664021664474</v>
      </c>
      <c r="C29" s="36">
        <f>IFERROR(Calculations!C29,"")</f>
        <v>106277.89707878827</v>
      </c>
      <c r="D29" s="36">
        <f>IFERROR(Calculations!D29,"")</f>
        <v>5313.8948539394141</v>
      </c>
      <c r="E29" s="36">
        <f>IFERROR(Calculations!E29,"")</f>
        <v>6000</v>
      </c>
      <c r="F29" s="36">
        <f>IFERROR(Calculations!F29,"")</f>
        <v>0</v>
      </c>
      <c r="G29" s="36">
        <f>IFERROR(Calculations!G29,"")</f>
        <v>0</v>
      </c>
      <c r="H29" s="20">
        <f>IFERROR(Calculations!H29,"")</f>
        <v>117591.79193272769</v>
      </c>
      <c r="I29" s="27"/>
    </row>
    <row r="30" spans="1:9" ht="24" customHeight="1" x14ac:dyDescent="0.15">
      <c r="A30" s="19">
        <f>IFERROR(Calculations!A30,"")</f>
        <v>39</v>
      </c>
      <c r="B30" s="36">
        <f>IFERROR(Calculations!B30,"")</f>
        <v>57473.710661881116</v>
      </c>
      <c r="C30" s="36">
        <f>IFERROR(Calculations!C30,"")</f>
        <v>117591.79193272769</v>
      </c>
      <c r="D30" s="36">
        <f>IFERROR(Calculations!D30,"")</f>
        <v>5879.5895966363851</v>
      </c>
      <c r="E30" s="36">
        <f>IFERROR(Calculations!E30,"")</f>
        <v>6000</v>
      </c>
      <c r="F30" s="36">
        <f>IFERROR(Calculations!F30,"")</f>
        <v>0</v>
      </c>
      <c r="G30" s="36">
        <f>IFERROR(Calculations!G30,"")</f>
        <v>0</v>
      </c>
      <c r="H30" s="20">
        <f>IFERROR(Calculations!H30,"")</f>
        <v>129471.38152936408</v>
      </c>
      <c r="I30" s="28"/>
    </row>
    <row r="31" spans="1:9" ht="24" customHeight="1" x14ac:dyDescent="0.15">
      <c r="A31" s="19">
        <f>IFERROR(Calculations!A31,"")</f>
        <v>40</v>
      </c>
      <c r="B31" s="36">
        <f>IFERROR(Calculations!B31,"")</f>
        <v>58048.447768499929</v>
      </c>
      <c r="C31" s="36">
        <f>IFERROR(Calculations!C31,"")</f>
        <v>129471.38152936408</v>
      </c>
      <c r="D31" s="36">
        <f>IFERROR(Calculations!D31,"")</f>
        <v>6473.569076468204</v>
      </c>
      <c r="E31" s="36">
        <f>IFERROR(Calculations!E31,"")</f>
        <v>6000</v>
      </c>
      <c r="F31" s="36">
        <f>IFERROR(Calculations!F31,"")</f>
        <v>0</v>
      </c>
      <c r="G31" s="36">
        <f>IFERROR(Calculations!G31,"")</f>
        <v>0</v>
      </c>
      <c r="H31" s="20">
        <f>IFERROR(Calculations!H31,"")</f>
        <v>141944.95060583227</v>
      </c>
      <c r="I31" s="27"/>
    </row>
    <row r="32" spans="1:9" ht="24" customHeight="1" x14ac:dyDescent="0.15">
      <c r="A32" s="19">
        <f>IFERROR(Calculations!A32,"")</f>
        <v>41</v>
      </c>
      <c r="B32" s="36">
        <f>IFERROR(Calculations!B32,"")</f>
        <v>58628.93224618493</v>
      </c>
      <c r="C32" s="36">
        <f>IFERROR(Calculations!C32,"")</f>
        <v>141944.95060583227</v>
      </c>
      <c r="D32" s="36">
        <f>IFERROR(Calculations!D32,"")</f>
        <v>7097.2475302916137</v>
      </c>
      <c r="E32" s="36">
        <f>IFERROR(Calculations!E32,"")</f>
        <v>6000</v>
      </c>
      <c r="F32" s="36">
        <f>IFERROR(Calculations!F32,"")</f>
        <v>0</v>
      </c>
      <c r="G32" s="36">
        <f>IFERROR(Calculations!G32,"")</f>
        <v>0</v>
      </c>
      <c r="H32" s="20">
        <f>IFERROR(Calculations!H32,"")</f>
        <v>155042.19813612389</v>
      </c>
      <c r="I32" s="29"/>
    </row>
    <row r="33" spans="1:9" ht="24" customHeight="1" x14ac:dyDescent="0.15">
      <c r="A33" s="19">
        <f>IFERROR(Calculations!A33,"")</f>
        <v>42</v>
      </c>
      <c r="B33" s="36">
        <f>IFERROR(Calculations!B33,"")</f>
        <v>59215.221568646783</v>
      </c>
      <c r="C33" s="36">
        <f>IFERROR(Calculations!C33,"")</f>
        <v>155042.19813612389</v>
      </c>
      <c r="D33" s="36">
        <f>IFERROR(Calculations!D33,"")</f>
        <v>7752.1099068061949</v>
      </c>
      <c r="E33" s="36">
        <f>IFERROR(Calculations!E33,"")</f>
        <v>6000</v>
      </c>
      <c r="F33" s="36">
        <f>IFERROR(Calculations!F33,"")</f>
        <v>0</v>
      </c>
      <c r="G33" s="36">
        <f>IFERROR(Calculations!G33,"")</f>
        <v>0</v>
      </c>
      <c r="H33" s="20">
        <f>IFERROR(Calculations!H33,"")</f>
        <v>168794.30804293009</v>
      </c>
      <c r="I33" s="27"/>
    </row>
    <row r="34" spans="1:9" ht="24" customHeight="1" x14ac:dyDescent="0.15">
      <c r="A34" s="19">
        <f>IFERROR(Calculations!A34,"")</f>
        <v>43</v>
      </c>
      <c r="B34" s="36">
        <f>IFERROR(Calculations!B34,"")</f>
        <v>59807.373784333249</v>
      </c>
      <c r="C34" s="36">
        <f>IFERROR(Calculations!C34,"")</f>
        <v>168794.30804293009</v>
      </c>
      <c r="D34" s="36">
        <f>IFERROR(Calculations!D34,"")</f>
        <v>8439.7154021465049</v>
      </c>
      <c r="E34" s="36">
        <f>IFERROR(Calculations!E34,"")</f>
        <v>6000</v>
      </c>
      <c r="F34" s="36">
        <f>IFERROR(Calculations!F34,"")</f>
        <v>0</v>
      </c>
      <c r="G34" s="36">
        <f>IFERROR(Calculations!G34,"")</f>
        <v>0</v>
      </c>
      <c r="H34" s="20">
        <f>IFERROR(Calculations!H34,"")</f>
        <v>183234.0234450766</v>
      </c>
      <c r="I34" s="28"/>
    </row>
    <row r="35" spans="1:9" ht="24" customHeight="1" x14ac:dyDescent="0.15">
      <c r="A35" s="19">
        <f>IFERROR(Calculations!A35,"")</f>
        <v>44</v>
      </c>
      <c r="B35" s="36">
        <f>IFERROR(Calculations!B35,"")</f>
        <v>60405.447522176582</v>
      </c>
      <c r="C35" s="36">
        <f>IFERROR(Calculations!C35,"")</f>
        <v>183234.0234450766</v>
      </c>
      <c r="D35" s="36">
        <f>IFERROR(Calculations!D35,"")</f>
        <v>9161.70117225383</v>
      </c>
      <c r="E35" s="36">
        <f>IFERROR(Calculations!E35,"")</f>
        <v>6000</v>
      </c>
      <c r="F35" s="36">
        <f>IFERROR(Calculations!F35,"")</f>
        <v>0</v>
      </c>
      <c r="G35" s="36">
        <f>IFERROR(Calculations!G35,"")</f>
        <v>0</v>
      </c>
      <c r="H35" s="20">
        <f>IFERROR(Calculations!H35,"")</f>
        <v>198395.72461733042</v>
      </c>
      <c r="I35" s="27"/>
    </row>
    <row r="36" spans="1:9" ht="24" customHeight="1" x14ac:dyDescent="0.15">
      <c r="A36" s="19">
        <f>IFERROR(Calculations!A36,"")</f>
        <v>45</v>
      </c>
      <c r="B36" s="36">
        <f>IFERROR(Calculations!B36,"")</f>
        <v>61009.501997398351</v>
      </c>
      <c r="C36" s="36">
        <f>IFERROR(Calculations!C36,"")</f>
        <v>198395.72461733042</v>
      </c>
      <c r="D36" s="36">
        <f>IFERROR(Calculations!D36,"")</f>
        <v>9919.7862308665208</v>
      </c>
      <c r="E36" s="36">
        <f>IFERROR(Calculations!E36,"")</f>
        <v>6000</v>
      </c>
      <c r="F36" s="36">
        <f>IFERROR(Calculations!F36,"")</f>
        <v>0</v>
      </c>
      <c r="G36" s="36">
        <f>IFERROR(Calculations!G36,"")</f>
        <v>0</v>
      </c>
      <c r="H36" s="20">
        <f>IFERROR(Calculations!H36,"")</f>
        <v>214315.51084819692</v>
      </c>
      <c r="I36" s="28"/>
    </row>
    <row r="37" spans="1:9" ht="24" customHeight="1" x14ac:dyDescent="0.15">
      <c r="A37" s="19">
        <f>IFERROR(Calculations!A37,"")</f>
        <v>46</v>
      </c>
      <c r="B37" s="36">
        <f>IFERROR(Calculations!B37,"")</f>
        <v>61619.597017372333</v>
      </c>
      <c r="C37" s="36">
        <f>IFERROR(Calculations!C37,"")</f>
        <v>214315.51084819692</v>
      </c>
      <c r="D37" s="36">
        <f>IFERROR(Calculations!D37,"")</f>
        <v>10715.775542409847</v>
      </c>
      <c r="E37" s="36">
        <f>IFERROR(Calculations!E37,"")</f>
        <v>6000</v>
      </c>
      <c r="F37" s="36">
        <f>IFERROR(Calculations!F37,"")</f>
        <v>0</v>
      </c>
      <c r="G37" s="36">
        <f>IFERROR(Calculations!G37,"")</f>
        <v>0</v>
      </c>
      <c r="H37" s="20">
        <f>IFERROR(Calculations!H37,"")</f>
        <v>231031.28639060678</v>
      </c>
      <c r="I37" s="27"/>
    </row>
    <row r="38" spans="1:9" ht="24" customHeight="1" x14ac:dyDescent="0.15">
      <c r="A38" s="19">
        <f>IFERROR(Calculations!A38,"")</f>
        <v>47</v>
      </c>
      <c r="B38" s="36">
        <f>IFERROR(Calculations!B38,"")</f>
        <v>62235.792987546054</v>
      </c>
      <c r="C38" s="36">
        <f>IFERROR(Calculations!C38,"")</f>
        <v>231031.28639060678</v>
      </c>
      <c r="D38" s="36">
        <f>IFERROR(Calculations!D38,"")</f>
        <v>11551.56431953034</v>
      </c>
      <c r="E38" s="36">
        <f>IFERROR(Calculations!E38,"")</f>
        <v>6000</v>
      </c>
      <c r="F38" s="36">
        <f>IFERROR(Calculations!F38,"")</f>
        <v>0</v>
      </c>
      <c r="G38" s="36">
        <f>IFERROR(Calculations!G38,"")</f>
        <v>0</v>
      </c>
      <c r="H38" s="20">
        <f>IFERROR(Calculations!H38,"")</f>
        <v>248582.85071013711</v>
      </c>
      <c r="I38" s="28"/>
    </row>
    <row r="39" spans="1:9" ht="24" customHeight="1" x14ac:dyDescent="0.15">
      <c r="A39" s="19">
        <f>IFERROR(Calculations!A39,"")</f>
        <v>48</v>
      </c>
      <c r="B39" s="36">
        <f>IFERROR(Calculations!B39,"")</f>
        <v>62858.150917421517</v>
      </c>
      <c r="C39" s="36">
        <f>IFERROR(Calculations!C39,"")</f>
        <v>248582.85071013711</v>
      </c>
      <c r="D39" s="36">
        <f>IFERROR(Calculations!D39,"")</f>
        <v>12429.142535506857</v>
      </c>
      <c r="E39" s="36">
        <f>IFERROR(Calculations!E39,"")</f>
        <v>6000</v>
      </c>
      <c r="F39" s="36">
        <f>IFERROR(Calculations!F39,"")</f>
        <v>0</v>
      </c>
      <c r="G39" s="36">
        <f>IFERROR(Calculations!G39,"")</f>
        <v>0</v>
      </c>
      <c r="H39" s="20">
        <f>IFERROR(Calculations!H39,"")</f>
        <v>267011.99324564397</v>
      </c>
      <c r="I39" s="27"/>
    </row>
    <row r="40" spans="1:9" ht="24" customHeight="1" x14ac:dyDescent="0.15">
      <c r="A40" s="19">
        <f>IFERROR(Calculations!A40,"")</f>
        <v>49</v>
      </c>
      <c r="B40" s="36">
        <f>IFERROR(Calculations!B40,"")</f>
        <v>63486.732426595729</v>
      </c>
      <c r="C40" s="36">
        <f>IFERROR(Calculations!C40,"")</f>
        <v>267011.99324564397</v>
      </c>
      <c r="D40" s="36">
        <f>IFERROR(Calculations!D40,"")</f>
        <v>13350.599662282199</v>
      </c>
      <c r="E40" s="36">
        <f>IFERROR(Calculations!E40,"")</f>
        <v>6000</v>
      </c>
      <c r="F40" s="36">
        <f>IFERROR(Calculations!F40,"")</f>
        <v>0</v>
      </c>
      <c r="G40" s="36">
        <f>IFERROR(Calculations!G40,"")</f>
        <v>0</v>
      </c>
      <c r="H40" s="20">
        <f>IFERROR(Calculations!H40,"")</f>
        <v>286362.59290792618</v>
      </c>
      <c r="I40" s="28"/>
    </row>
    <row r="41" spans="1:9" ht="24" customHeight="1" x14ac:dyDescent="0.15">
      <c r="A41" s="19">
        <f>IFERROR(Calculations!A41,"")</f>
        <v>50</v>
      </c>
      <c r="B41" s="36">
        <f>IFERROR(Calculations!B41,"")</f>
        <v>64121.599750861686</v>
      </c>
      <c r="C41" s="36">
        <f>IFERROR(Calculations!C41,"")</f>
        <v>286362.59290792618</v>
      </c>
      <c r="D41" s="36">
        <f>IFERROR(Calculations!D41,"")</f>
        <v>14318.12964539631</v>
      </c>
      <c r="E41" s="36">
        <f>IFERROR(Calculations!E41,"")</f>
        <v>6000</v>
      </c>
      <c r="F41" s="36">
        <f>IFERROR(Calculations!F41,"")</f>
        <v>0</v>
      </c>
      <c r="G41" s="36">
        <f>IFERROR(Calculations!G41,"")</f>
        <v>0</v>
      </c>
      <c r="H41" s="20">
        <f>IFERROR(Calculations!H41,"")</f>
        <v>306680.7225533225</v>
      </c>
      <c r="I41" s="27"/>
    </row>
    <row r="42" spans="1:9" ht="24" customHeight="1" x14ac:dyDescent="0.15">
      <c r="A42" s="19">
        <f>IFERROR(Calculations!A42,"")</f>
        <v>51</v>
      </c>
      <c r="B42" s="36">
        <f>IFERROR(Calculations!B42,"")</f>
        <v>64762.815748370303</v>
      </c>
      <c r="C42" s="36">
        <f>IFERROR(Calculations!C42,"")</f>
        <v>306680.7225533225</v>
      </c>
      <c r="D42" s="36">
        <f>IFERROR(Calculations!D42,"")</f>
        <v>15334.036127666126</v>
      </c>
      <c r="E42" s="36">
        <f>IFERROR(Calculations!E42,"")</f>
        <v>6000</v>
      </c>
      <c r="F42" s="36">
        <f>IFERROR(Calculations!F42,"")</f>
        <v>0</v>
      </c>
      <c r="G42" s="36">
        <f>IFERROR(Calculations!G42,"")</f>
        <v>0</v>
      </c>
      <c r="H42" s="20">
        <f>IFERROR(Calculations!H42,"")</f>
        <v>328014.75868098863</v>
      </c>
      <c r="I42" s="28"/>
    </row>
    <row r="43" spans="1:9" ht="24" customHeight="1" x14ac:dyDescent="0.15">
      <c r="A43" s="19">
        <f>IFERROR(Calculations!A43,"")</f>
        <v>52</v>
      </c>
      <c r="B43" s="36">
        <f>IFERROR(Calculations!B43,"")</f>
        <v>65410.443905854008</v>
      </c>
      <c r="C43" s="36">
        <f>IFERROR(Calculations!C43,"")</f>
        <v>328014.75868098863</v>
      </c>
      <c r="D43" s="36">
        <f>IFERROR(Calculations!D43,"")</f>
        <v>16400.737934049434</v>
      </c>
      <c r="E43" s="36">
        <f>IFERROR(Calculations!E43,"")</f>
        <v>6000</v>
      </c>
      <c r="F43" s="36">
        <f>IFERROR(Calculations!F43,"")</f>
        <v>0</v>
      </c>
      <c r="G43" s="36">
        <f>IFERROR(Calculations!G43,"")</f>
        <v>0</v>
      </c>
      <c r="H43" s="20">
        <f>IFERROR(Calculations!H43,"")</f>
        <v>350415.49661503808</v>
      </c>
      <c r="I43" s="27"/>
    </row>
    <row r="44" spans="1:9" ht="24" customHeight="1" x14ac:dyDescent="0.15">
      <c r="A44" s="19">
        <f>IFERROR(Calculations!A44,"")</f>
        <v>53</v>
      </c>
      <c r="B44" s="36">
        <f>IFERROR(Calculations!B44,"")</f>
        <v>66064.548344912546</v>
      </c>
      <c r="C44" s="36">
        <f>IFERROR(Calculations!C44,"")</f>
        <v>350415.49661503808</v>
      </c>
      <c r="D44" s="36">
        <f>IFERROR(Calculations!D44,"")</f>
        <v>17520.774830751903</v>
      </c>
      <c r="E44" s="36">
        <f>IFERROR(Calculations!E44,"")</f>
        <v>6000</v>
      </c>
      <c r="F44" s="36">
        <f>IFERROR(Calculations!F44,"")</f>
        <v>0</v>
      </c>
      <c r="G44" s="36">
        <f>IFERROR(Calculations!G44,"")</f>
        <v>0</v>
      </c>
      <c r="H44" s="20">
        <f>IFERROR(Calculations!H44,"")</f>
        <v>373936.27144578996</v>
      </c>
      <c r="I44" s="28"/>
    </row>
    <row r="45" spans="1:9" ht="24" customHeight="1" x14ac:dyDescent="0.15">
      <c r="A45" s="19">
        <f>IFERROR(Calculations!A45,"")</f>
        <v>54</v>
      </c>
      <c r="B45" s="36">
        <f>IFERROR(Calculations!B45,"")</f>
        <v>66725.193828361676</v>
      </c>
      <c r="C45" s="36">
        <f>IFERROR(Calculations!C45,"")</f>
        <v>373936.27144578996</v>
      </c>
      <c r="D45" s="36">
        <f>IFERROR(Calculations!D45,"")</f>
        <v>18696.813572289499</v>
      </c>
      <c r="E45" s="36">
        <f>IFERROR(Calculations!E45,"")</f>
        <v>6000</v>
      </c>
      <c r="F45" s="36">
        <f>IFERROR(Calculations!F45,"")</f>
        <v>0</v>
      </c>
      <c r="G45" s="36">
        <f>IFERROR(Calculations!G45,"")</f>
        <v>0</v>
      </c>
      <c r="H45" s="20">
        <f>IFERROR(Calculations!H45,"")</f>
        <v>398633.08501807944</v>
      </c>
      <c r="I45" s="27"/>
    </row>
    <row r="46" spans="1:9" ht="24" customHeight="1" x14ac:dyDescent="0.15">
      <c r="A46" s="19">
        <f>IFERROR(Calculations!A46,"")</f>
        <v>55</v>
      </c>
      <c r="B46" s="36">
        <f>IFERROR(Calculations!B46,"")</f>
        <v>67392.445766645294</v>
      </c>
      <c r="C46" s="36">
        <f>IFERROR(Calculations!C46,"")</f>
        <v>398633.08501807944</v>
      </c>
      <c r="D46" s="36">
        <f>IFERROR(Calculations!D46,"")</f>
        <v>19931.654250903972</v>
      </c>
      <c r="E46" s="36">
        <f>IFERROR(Calculations!E46,"")</f>
        <v>6000</v>
      </c>
      <c r="F46" s="36">
        <f>IFERROR(Calculations!F46,"")</f>
        <v>0</v>
      </c>
      <c r="G46" s="36">
        <f>IFERROR(Calculations!G46,"")</f>
        <v>0</v>
      </c>
      <c r="H46" s="20">
        <f>IFERROR(Calculations!H46,"")</f>
        <v>424564.73926898342</v>
      </c>
      <c r="I46" s="29"/>
    </row>
    <row r="47" spans="1:9" ht="24" customHeight="1" x14ac:dyDescent="0.15">
      <c r="A47" s="19">
        <f>IFERROR(Calculations!A47,"")</f>
        <v>56</v>
      </c>
      <c r="B47" s="36">
        <f>IFERROR(Calculations!B47,"")</f>
        <v>68066.370224311744</v>
      </c>
      <c r="C47" s="36">
        <f>IFERROR(Calculations!C47,"")</f>
        <v>424564.73926898342</v>
      </c>
      <c r="D47" s="36">
        <f>IFERROR(Calculations!D47,"")</f>
        <v>21228.236963449173</v>
      </c>
      <c r="E47" s="36">
        <f>IFERROR(Calculations!E47,"")</f>
        <v>6000</v>
      </c>
      <c r="F47" s="36">
        <f>IFERROR(Calculations!F47,"")</f>
        <v>0</v>
      </c>
      <c r="G47" s="36">
        <f>IFERROR(Calculations!G47,"")</f>
        <v>0</v>
      </c>
      <c r="H47" s="20">
        <f>IFERROR(Calculations!H47,"")</f>
        <v>451792.97623243259</v>
      </c>
      <c r="I47" s="27"/>
    </row>
    <row r="48" spans="1:9" ht="24" customHeight="1" x14ac:dyDescent="0.15">
      <c r="A48" s="19">
        <f>IFERROR(Calculations!A48,"")</f>
        <v>57</v>
      </c>
      <c r="B48" s="36">
        <f>IFERROR(Calculations!B48,"")</f>
        <v>68747.033926554868</v>
      </c>
      <c r="C48" s="36">
        <f>IFERROR(Calculations!C48,"")</f>
        <v>451792.97623243259</v>
      </c>
      <c r="D48" s="36">
        <f>IFERROR(Calculations!D48,"")</f>
        <v>22589.648811621631</v>
      </c>
      <c r="E48" s="36">
        <f>IFERROR(Calculations!E48,"")</f>
        <v>6000</v>
      </c>
      <c r="F48" s="36">
        <f>IFERROR(Calculations!F48,"")</f>
        <v>0</v>
      </c>
      <c r="G48" s="36">
        <f>IFERROR(Calculations!G48,"")</f>
        <v>0</v>
      </c>
      <c r="H48" s="20">
        <f>IFERROR(Calculations!H48,"")</f>
        <v>480382.62504405424</v>
      </c>
      <c r="I48" s="28"/>
    </row>
    <row r="49" spans="1:9" ht="24" customHeight="1" x14ac:dyDescent="0.15">
      <c r="A49" s="19">
        <f>IFERROR(Calculations!A49,"")</f>
        <v>58</v>
      </c>
      <c r="B49" s="36">
        <f>IFERROR(Calculations!B49,"")</f>
        <v>69434.504265820418</v>
      </c>
      <c r="C49" s="36">
        <f>IFERROR(Calculations!C49,"")</f>
        <v>480382.62504405424</v>
      </c>
      <c r="D49" s="36">
        <f>IFERROR(Calculations!D49,"")</f>
        <v>24019.131252202715</v>
      </c>
      <c r="E49" s="36">
        <f>IFERROR(Calculations!E49,"")</f>
        <v>6000</v>
      </c>
      <c r="F49" s="36">
        <f>IFERROR(Calculations!F49,"")</f>
        <v>0</v>
      </c>
      <c r="G49" s="36">
        <f>IFERROR(Calculations!G49,"")</f>
        <v>0</v>
      </c>
      <c r="H49" s="20">
        <f>IFERROR(Calculations!H49,"")</f>
        <v>510401.75629625696</v>
      </c>
      <c r="I49" s="27"/>
    </row>
    <row r="50" spans="1:9" ht="24" customHeight="1" x14ac:dyDescent="0.15">
      <c r="A50" s="19">
        <f>IFERROR(Calculations!A50,"")</f>
        <v>59</v>
      </c>
      <c r="B50" s="36">
        <f>IFERROR(Calculations!B50,"")</f>
        <v>70128.849308478617</v>
      </c>
      <c r="C50" s="36">
        <f>IFERROR(Calculations!C50,"")</f>
        <v>510401.75629625696</v>
      </c>
      <c r="D50" s="36">
        <f>IFERROR(Calculations!D50,"")</f>
        <v>25520.08781481285</v>
      </c>
      <c r="E50" s="36">
        <f>IFERROR(Calculations!E50,"")</f>
        <v>6000</v>
      </c>
      <c r="F50" s="36">
        <f>IFERROR(Calculations!F50,"")</f>
        <v>0</v>
      </c>
      <c r="G50" s="36">
        <f>IFERROR(Calculations!G50,"")</f>
        <v>0</v>
      </c>
      <c r="H50" s="20">
        <f>IFERROR(Calculations!H50,"")</f>
        <v>541921.8441110698</v>
      </c>
      <c r="I50" s="28"/>
    </row>
    <row r="51" spans="1:9" ht="24" customHeight="1" x14ac:dyDescent="0.15">
      <c r="A51" s="19">
        <f>IFERROR(Calculations!A51,"")</f>
        <v>60</v>
      </c>
      <c r="B51" s="36">
        <f>IFERROR(Calculations!B51,"")</f>
        <v>70830.137801563396</v>
      </c>
      <c r="C51" s="36">
        <f>IFERROR(Calculations!C51,"")</f>
        <v>541921.8441110698</v>
      </c>
      <c r="D51" s="36">
        <f>IFERROR(Calculations!D51,"")</f>
        <v>27096.09220555349</v>
      </c>
      <c r="E51" s="36">
        <f>IFERROR(Calculations!E51,"")</f>
        <v>6000</v>
      </c>
      <c r="F51" s="36">
        <f>IFERROR(Calculations!F51,"")</f>
        <v>0</v>
      </c>
      <c r="G51" s="36">
        <f>IFERROR(Calculations!G51,"")</f>
        <v>0</v>
      </c>
      <c r="H51" s="20">
        <f>IFERROR(Calculations!H51,"")</f>
        <v>575017.93631662335</v>
      </c>
      <c r="I51" s="27"/>
    </row>
    <row r="52" spans="1:9" ht="24" customHeight="1" x14ac:dyDescent="0.15">
      <c r="A52" s="19">
        <f>IFERROR(Calculations!A52,"")</f>
        <v>61</v>
      </c>
      <c r="B52" s="36">
        <f>IFERROR(Calculations!B52,"")</f>
        <v>71538.439179579029</v>
      </c>
      <c r="C52" s="36">
        <f>IFERROR(Calculations!C52,"")</f>
        <v>575017.93631662335</v>
      </c>
      <c r="D52" s="36">
        <f>IFERROR(Calculations!D52,"")</f>
        <v>28750.896815831169</v>
      </c>
      <c r="E52" s="36">
        <f>IFERROR(Calculations!E52,"")</f>
        <v>6000</v>
      </c>
      <c r="F52" s="36">
        <f>IFERROR(Calculations!F52,"")</f>
        <v>0</v>
      </c>
      <c r="G52" s="36">
        <f>IFERROR(Calculations!G52,"")</f>
        <v>0</v>
      </c>
      <c r="H52" s="20">
        <f>IFERROR(Calculations!H52,"")</f>
        <v>609768.83313245454</v>
      </c>
      <c r="I52" s="28"/>
    </row>
    <row r="53" spans="1:9" ht="24" customHeight="1" x14ac:dyDescent="0.15">
      <c r="A53" s="19">
        <f>IFERROR(Calculations!A53,"")</f>
        <v>62</v>
      </c>
      <c r="B53" s="36">
        <f>IFERROR(Calculations!B53,"")</f>
        <v>72253.823571374814</v>
      </c>
      <c r="C53" s="36">
        <f>IFERROR(Calculations!C53,"")</f>
        <v>609768.83313245454</v>
      </c>
      <c r="D53" s="36">
        <f>IFERROR(Calculations!D53,"")</f>
        <v>30488.44165662273</v>
      </c>
      <c r="E53" s="36">
        <f>IFERROR(Calculations!E53,"")</f>
        <v>6000</v>
      </c>
      <c r="F53" s="36">
        <f>IFERROR(Calculations!F53,"")</f>
        <v>0</v>
      </c>
      <c r="G53" s="36">
        <f>IFERROR(Calculations!G53,"")</f>
        <v>0</v>
      </c>
      <c r="H53" s="20">
        <f>IFERROR(Calculations!H53,"")</f>
        <v>646257.27478907723</v>
      </c>
      <c r="I53" s="27"/>
    </row>
    <row r="54" spans="1:9" ht="24" customHeight="1" x14ac:dyDescent="0.15">
      <c r="A54" s="19">
        <f>IFERROR(Calculations!A54,"")</f>
        <v>63</v>
      </c>
      <c r="B54" s="36">
        <f>IFERROR(Calculations!B54,"")</f>
        <v>72976.361807088557</v>
      </c>
      <c r="C54" s="36">
        <f>IFERROR(Calculations!C54,"")</f>
        <v>646257.27478907723</v>
      </c>
      <c r="D54" s="36">
        <f>IFERROR(Calculations!D54,"")</f>
        <v>32312.863739453864</v>
      </c>
      <c r="E54" s="36">
        <f>IFERROR(Calculations!E54,"")</f>
        <v>6000</v>
      </c>
      <c r="F54" s="36">
        <f>IFERROR(Calculations!F54,"")</f>
        <v>0</v>
      </c>
      <c r="G54" s="36">
        <f>IFERROR(Calculations!G54,"")</f>
        <v>0</v>
      </c>
      <c r="H54" s="20">
        <f>IFERROR(Calculations!H54,"")</f>
        <v>684570.13852853107</v>
      </c>
      <c r="I54" s="28"/>
    </row>
    <row r="55" spans="1:9" ht="24" customHeight="1" x14ac:dyDescent="0.15">
      <c r="A55" s="19">
        <f>IFERROR(Calculations!A55,"")</f>
        <v>64</v>
      </c>
      <c r="B55" s="36">
        <f>IFERROR(Calculations!B55,"")</f>
        <v>73706.125425159436</v>
      </c>
      <c r="C55" s="36">
        <f>IFERROR(Calculations!C55,"")</f>
        <v>684570.13852853107</v>
      </c>
      <c r="D55" s="36">
        <f>IFERROR(Calculations!D55,"")</f>
        <v>34228.506926426555</v>
      </c>
      <c r="E55" s="36">
        <f>IFERROR(Calculations!E55,"")</f>
        <v>6000</v>
      </c>
      <c r="F55" s="36">
        <f>IFERROR(Calculations!F55,"")</f>
        <v>0</v>
      </c>
      <c r="G55" s="36">
        <f>IFERROR(Calculations!G55,"")</f>
        <v>0</v>
      </c>
      <c r="H55" s="20">
        <f>IFERROR(Calculations!H55,"")</f>
        <v>724798.64545495762</v>
      </c>
      <c r="I55" s="27"/>
    </row>
    <row r="56" spans="1:9" ht="24" customHeight="1" x14ac:dyDescent="0.15">
      <c r="A56" s="19">
        <f>IFERROR(Calculations!A56,"")</f>
        <v>65</v>
      </c>
      <c r="B56" s="36">
        <f>IFERROR(Calculations!B56,"")</f>
        <v>0</v>
      </c>
      <c r="C56" s="36">
        <f>IFERROR(Calculations!C56,"")</f>
        <v>724798.64545495762</v>
      </c>
      <c r="D56" s="36">
        <f>IFERROR(Calculations!D56,"")</f>
        <v>32615.939045473093</v>
      </c>
      <c r="E56" s="36">
        <f>IFERROR(Calculations!E56,"")</f>
        <v>0</v>
      </c>
      <c r="F56" s="36">
        <f>IFERROR(Calculations!F56,"")</f>
        <v>55832.390009558309</v>
      </c>
      <c r="G56" s="36">
        <f>IFERROR(Calculations!G56,"")</f>
        <v>42000</v>
      </c>
      <c r="H56" s="20">
        <f>IFERROR(Calculations!H56,"")</f>
        <v>743582.19449087244</v>
      </c>
      <c r="I56" s="28"/>
    </row>
    <row r="57" spans="1:9" ht="24" customHeight="1" x14ac:dyDescent="0.15">
      <c r="A57" s="19">
        <f>IFERROR(Calculations!A57,"")</f>
        <v>66</v>
      </c>
      <c r="B57" s="36">
        <f>IFERROR(Calculations!B57,"")</f>
        <v>0</v>
      </c>
      <c r="C57" s="36">
        <f>IFERROR(Calculations!C57,"")</f>
        <v>743582.19449087244</v>
      </c>
      <c r="D57" s="36">
        <f>IFERROR(Calculations!D57,"")</f>
        <v>33461.198752089258</v>
      </c>
      <c r="E57" s="36">
        <f>IFERROR(Calculations!E57,"")</f>
        <v>0</v>
      </c>
      <c r="F57" s="36">
        <f>IFERROR(Calculations!F57,"")</f>
        <v>56390.713909653896</v>
      </c>
      <c r="G57" s="36">
        <f>IFERROR(Calculations!G57,"")</f>
        <v>42000</v>
      </c>
      <c r="H57" s="20">
        <f>IFERROR(Calculations!H57,"")</f>
        <v>762652.67933330778</v>
      </c>
      <c r="I57" s="27"/>
    </row>
    <row r="58" spans="1:9" ht="24" customHeight="1" x14ac:dyDescent="0.15">
      <c r="A58" s="19">
        <f>IFERROR(Calculations!A58,"")</f>
        <v>67</v>
      </c>
      <c r="B58" s="36">
        <f>IFERROR(Calculations!B58,"")</f>
        <v>0</v>
      </c>
      <c r="C58" s="36">
        <f>IFERROR(Calculations!C58,"")</f>
        <v>762652.67933330778</v>
      </c>
      <c r="D58" s="36">
        <f>IFERROR(Calculations!D58,"")</f>
        <v>34319.37056999885</v>
      </c>
      <c r="E58" s="36">
        <f>IFERROR(Calculations!E58,"")</f>
        <v>0</v>
      </c>
      <c r="F58" s="36">
        <f>IFERROR(Calculations!F58,"")</f>
        <v>56954.621048750443</v>
      </c>
      <c r="G58" s="36">
        <f>IFERROR(Calculations!G58,"")</f>
        <v>42000</v>
      </c>
      <c r="H58" s="20">
        <f>IFERROR(Calculations!H58,"")</f>
        <v>782017.42885455617</v>
      </c>
      <c r="I58" s="28"/>
    </row>
    <row r="59" spans="1:9" ht="24" customHeight="1" x14ac:dyDescent="0.15">
      <c r="A59" s="19">
        <f>IFERROR(Calculations!A59,"")</f>
        <v>68</v>
      </c>
      <c r="B59" s="36">
        <f>IFERROR(Calculations!B59,"")</f>
        <v>0</v>
      </c>
      <c r="C59" s="36">
        <f>IFERROR(Calculations!C59,"")</f>
        <v>782017.42885455617</v>
      </c>
      <c r="D59" s="36">
        <f>IFERROR(Calculations!D59,"")</f>
        <v>35190.78429845503</v>
      </c>
      <c r="E59" s="36">
        <f>IFERROR(Calculations!E59,"")</f>
        <v>0</v>
      </c>
      <c r="F59" s="36">
        <f>IFERROR(Calculations!F59,"")</f>
        <v>57524.167259237933</v>
      </c>
      <c r="G59" s="36">
        <f>IFERROR(Calculations!G59,"")</f>
        <v>42000</v>
      </c>
      <c r="H59" s="20">
        <f>IFERROR(Calculations!H59,"")</f>
        <v>801684.0458937732</v>
      </c>
      <c r="I59" s="27"/>
    </row>
    <row r="60" spans="1:9" ht="24" customHeight="1" x14ac:dyDescent="0.15">
      <c r="A60" s="19">
        <f>IFERROR(Calculations!A60,"")</f>
        <v>69</v>
      </c>
      <c r="B60" s="36">
        <f>IFERROR(Calculations!B60,"")</f>
        <v>0</v>
      </c>
      <c r="C60" s="36">
        <f>IFERROR(Calculations!C60,"")</f>
        <v>801684.0458937732</v>
      </c>
      <c r="D60" s="36">
        <f>IFERROR(Calculations!D60,"")</f>
        <v>36075.782065219792</v>
      </c>
      <c r="E60" s="36">
        <f>IFERROR(Calculations!E60,"")</f>
        <v>0</v>
      </c>
      <c r="F60" s="36">
        <f>IFERROR(Calculations!F60,"")</f>
        <v>58099.408931830316</v>
      </c>
      <c r="G60" s="36">
        <f>IFERROR(Calculations!G60,"")</f>
        <v>42000</v>
      </c>
      <c r="H60" s="20">
        <f>IFERROR(Calculations!H60,"")</f>
        <v>821660.41902716272</v>
      </c>
      <c r="I60" s="29"/>
    </row>
    <row r="61" spans="1:9" ht="18" customHeight="1" x14ac:dyDescent="0.15">
      <c r="A61" s="3">
        <f>IFERROR(Calculations!A61,"")</f>
        <v>70</v>
      </c>
      <c r="B61" s="4">
        <f>IFERROR(Calculations!B61,"")</f>
        <v>0</v>
      </c>
      <c r="C61" s="4">
        <f>IFERROR(Calculations!C61,"")</f>
        <v>821660.41902716272</v>
      </c>
      <c r="D61" s="4">
        <f>IFERROR(Calculations!D61,"")</f>
        <v>36974.718856222324</v>
      </c>
      <c r="E61" s="4">
        <f>IFERROR(Calculations!E61,"")</f>
        <v>0</v>
      </c>
      <c r="F61" s="4">
        <f>IFERROR(Calculations!F61,"")</f>
        <v>58680.403021148617</v>
      </c>
      <c r="G61" s="4">
        <f>IFERROR(Calculations!G61,"")</f>
        <v>42000</v>
      </c>
      <c r="H61" s="4">
        <f>IFERROR(Calculations!H61,"")</f>
        <v>841954.73486223642</v>
      </c>
      <c r="I61" s="32"/>
    </row>
    <row r="62" spans="1:9" ht="18" customHeight="1" x14ac:dyDescent="0.15">
      <c r="A62" s="3">
        <f>IFERROR(Calculations!A62,"")</f>
        <v>71</v>
      </c>
      <c r="B62" s="4">
        <f>IFERROR(Calculations!B62,"")</f>
        <v>0</v>
      </c>
      <c r="C62" s="4">
        <f>IFERROR(Calculations!C62,"")</f>
        <v>841954.73486223642</v>
      </c>
      <c r="D62" s="4">
        <f>IFERROR(Calculations!D62,"")</f>
        <v>37887.963068800636</v>
      </c>
      <c r="E62" s="4">
        <f>IFERROR(Calculations!E62,"")</f>
        <v>0</v>
      </c>
      <c r="F62" s="4">
        <f>IFERROR(Calculations!F62,"")</f>
        <v>59267.207051360114</v>
      </c>
      <c r="G62" s="4">
        <f>IFERROR(Calculations!G62,"")</f>
        <v>42000</v>
      </c>
      <c r="H62" s="4">
        <f>IFERROR(Calculations!H62,"")</f>
        <v>862575.49087967689</v>
      </c>
    </row>
    <row r="63" spans="1:9" ht="18" customHeight="1" x14ac:dyDescent="0.15">
      <c r="A63" s="3">
        <f>IFERROR(Calculations!A63,"")</f>
        <v>72</v>
      </c>
      <c r="B63" s="4">
        <f>IFERROR(Calculations!B63,"")</f>
        <v>0</v>
      </c>
      <c r="C63" s="4">
        <f>IFERROR(Calculations!C63,"")</f>
        <v>862575.49087967689</v>
      </c>
      <c r="D63" s="4">
        <f>IFERROR(Calculations!D63,"")</f>
        <v>38815.897089585458</v>
      </c>
      <c r="E63" s="4">
        <f>IFERROR(Calculations!E63,"")</f>
        <v>0</v>
      </c>
      <c r="F63" s="4">
        <f>IFERROR(Calculations!F63,"")</f>
        <v>59859.879121873695</v>
      </c>
      <c r="G63" s="4">
        <f>IFERROR(Calculations!G63,"")</f>
        <v>42000</v>
      </c>
      <c r="H63" s="4">
        <f>IFERROR(Calculations!H63,"")</f>
        <v>883531.50884738867</v>
      </c>
    </row>
    <row r="64" spans="1:9" ht="18" customHeight="1" x14ac:dyDescent="0.15">
      <c r="A64" s="3">
        <f>IFERROR(Calculations!A64,"")</f>
        <v>73</v>
      </c>
      <c r="B64" s="4">
        <f>IFERROR(Calculations!B64,"")</f>
        <v>0</v>
      </c>
      <c r="C64" s="4">
        <f>IFERROR(Calculations!C64,"")</f>
        <v>883531.50884738867</v>
      </c>
      <c r="D64" s="4">
        <f>IFERROR(Calculations!D64,"")</f>
        <v>39758.917898132488</v>
      </c>
      <c r="E64" s="4">
        <f>IFERROR(Calculations!E64,"")</f>
        <v>0</v>
      </c>
      <c r="F64" s="4">
        <f>IFERROR(Calculations!F64,"")</f>
        <v>60458.477913092451</v>
      </c>
      <c r="G64" s="4">
        <f>IFERROR(Calculations!G64,"")</f>
        <v>42000</v>
      </c>
      <c r="H64" s="4">
        <f>IFERROR(Calculations!H64,"")</f>
        <v>904831.94883242866</v>
      </c>
    </row>
    <row r="65" spans="1:8" ht="18" customHeight="1" x14ac:dyDescent="0.15">
      <c r="A65" s="3">
        <f>IFERROR(Calculations!A65,"")</f>
        <v>74</v>
      </c>
      <c r="B65" s="4">
        <f>IFERROR(Calculations!B65,"")</f>
        <v>0</v>
      </c>
      <c r="C65" s="4">
        <f>IFERROR(Calculations!C65,"")</f>
        <v>904831.94883242866</v>
      </c>
      <c r="D65" s="4">
        <f>IFERROR(Calculations!D65,"")</f>
        <v>40717.437697459289</v>
      </c>
      <c r="E65" s="4">
        <f>IFERROR(Calculations!E65,"")</f>
        <v>0</v>
      </c>
      <c r="F65" s="4">
        <f>IFERROR(Calculations!F65,"")</f>
        <v>61063.062692223379</v>
      </c>
      <c r="G65" s="4">
        <f>IFERROR(Calculations!G65,"")</f>
        <v>42000</v>
      </c>
      <c r="H65" s="4">
        <f>IFERROR(Calculations!H65,"")</f>
        <v>926486.32383766456</v>
      </c>
    </row>
    <row r="66" spans="1:8" ht="18" customHeight="1" x14ac:dyDescent="0.15">
      <c r="A66" s="3">
        <f>IFERROR(Calculations!A66,"")</f>
        <v>75</v>
      </c>
      <c r="B66" s="4">
        <f>IFERROR(Calculations!B66,"")</f>
        <v>0</v>
      </c>
      <c r="C66" s="4">
        <f>IFERROR(Calculations!C66,"")</f>
        <v>926486.32383766456</v>
      </c>
      <c r="D66" s="4">
        <f>IFERROR(Calculations!D66,"")</f>
        <v>41691.8845726949</v>
      </c>
      <c r="E66" s="4">
        <f>IFERROR(Calculations!E66,"")</f>
        <v>0</v>
      </c>
      <c r="F66" s="4">
        <f>IFERROR(Calculations!F66,"")</f>
        <v>61673.693319145619</v>
      </c>
      <c r="G66" s="4">
        <f>IFERROR(Calculations!G66,"")</f>
        <v>42000</v>
      </c>
      <c r="H66" s="4">
        <f>IFERROR(Calculations!H66,"")</f>
        <v>948504.51509121386</v>
      </c>
    </row>
    <row r="67" spans="1:8" ht="18" customHeight="1" x14ac:dyDescent="0.15">
      <c r="A67" s="3">
        <f>IFERROR(Calculations!A67,"")</f>
        <v>76</v>
      </c>
      <c r="B67" s="4">
        <f>IFERROR(Calculations!B67,"")</f>
        <v>0</v>
      </c>
      <c r="C67" s="4">
        <f>IFERROR(Calculations!C67,"")</f>
        <v>948504.51509121386</v>
      </c>
      <c r="D67" s="4">
        <f>IFERROR(Calculations!D67,"")</f>
        <v>42682.703179104625</v>
      </c>
      <c r="E67" s="4">
        <f>IFERROR(Calculations!E67,"")</f>
        <v>0</v>
      </c>
      <c r="F67" s="4">
        <f>IFERROR(Calculations!F67,"")</f>
        <v>62290.430252337057</v>
      </c>
      <c r="G67" s="4">
        <f>IFERROR(Calculations!G67,"")</f>
        <v>42000</v>
      </c>
      <c r="H67" s="4">
        <f>IFERROR(Calculations!H67,"")</f>
        <v>970896.78801798145</v>
      </c>
    </row>
    <row r="68" spans="1:8" ht="18" customHeight="1" x14ac:dyDescent="0.15">
      <c r="A68" s="3">
        <f>IFERROR(Calculations!A68,"")</f>
        <v>77</v>
      </c>
      <c r="B68" s="4">
        <f>IFERROR(Calculations!B68,"")</f>
        <v>0</v>
      </c>
      <c r="C68" s="4">
        <f>IFERROR(Calculations!C68,"")</f>
        <v>970896.78801798145</v>
      </c>
      <c r="D68" s="4">
        <f>IFERROR(Calculations!D68,"")</f>
        <v>43690.355460809165</v>
      </c>
      <c r="E68" s="4">
        <f>IFERROR(Calculations!E68,"")</f>
        <v>0</v>
      </c>
      <c r="F68" s="4">
        <f>IFERROR(Calculations!F68,"")</f>
        <v>62913.334554860434</v>
      </c>
      <c r="G68" s="4">
        <f>IFERROR(Calculations!G68,"")</f>
        <v>42000</v>
      </c>
      <c r="H68" s="4">
        <f>IFERROR(Calculations!H68,"")</f>
        <v>993673.80892393016</v>
      </c>
    </row>
    <row r="69" spans="1:8" ht="18" customHeight="1" x14ac:dyDescent="0.15">
      <c r="A69" s="3">
        <f>IFERROR(Calculations!A69,"")</f>
        <v>78</v>
      </c>
      <c r="B69" s="4">
        <f>IFERROR(Calculations!B69,"")</f>
        <v>0</v>
      </c>
      <c r="C69" s="4">
        <f>IFERROR(Calculations!C69,"")</f>
        <v>993673.80892393016</v>
      </c>
      <c r="D69" s="4">
        <f>IFERROR(Calculations!D69,"")</f>
        <v>44715.321401576854</v>
      </c>
      <c r="E69" s="4">
        <f>IFERROR(Calculations!E69,"")</f>
        <v>0</v>
      </c>
      <c r="F69" s="4">
        <f>IFERROR(Calculations!F69,"")</f>
        <v>63542.467900409029</v>
      </c>
      <c r="G69" s="4">
        <f>IFERROR(Calculations!G69,"")</f>
        <v>42000</v>
      </c>
      <c r="H69" s="4">
        <f>IFERROR(Calculations!H69,"")</f>
        <v>1016846.662425098</v>
      </c>
    </row>
    <row r="70" spans="1:8" ht="18" customHeight="1" x14ac:dyDescent="0.15">
      <c r="A70" s="3">
        <f>IFERROR(Calculations!A70,"")</f>
        <v>79</v>
      </c>
      <c r="B70" s="4">
        <f>IFERROR(Calculations!B70,"")</f>
        <v>0</v>
      </c>
      <c r="C70" s="4">
        <f>IFERROR(Calculations!C70,"")</f>
        <v>1016846.662425098</v>
      </c>
      <c r="D70" s="4">
        <f>IFERROR(Calculations!D70,"")</f>
        <v>45758.09980912941</v>
      </c>
      <c r="E70" s="4">
        <f>IFERROR(Calculations!E70,"")</f>
        <v>0</v>
      </c>
      <c r="F70" s="4">
        <f>IFERROR(Calculations!F70,"")</f>
        <v>64177.892579413136</v>
      </c>
      <c r="G70" s="4">
        <f>IFERROR(Calculations!G70,"")</f>
        <v>42000</v>
      </c>
      <c r="H70" s="4">
        <f>IFERROR(Calculations!H70,"")</f>
        <v>1040426.8696548144</v>
      </c>
    </row>
    <row r="71" spans="1:8" ht="18" customHeight="1" x14ac:dyDescent="0.15">
      <c r="A71" s="3">
        <f>IFERROR(Calculations!A71,"")</f>
        <v>80</v>
      </c>
      <c r="B71" s="4">
        <f>IFERROR(Calculations!B71,"")</f>
        <v>0</v>
      </c>
      <c r="C71" s="4">
        <f>IFERROR(Calculations!C71,"")</f>
        <v>1040426.8696548144</v>
      </c>
      <c r="D71" s="4">
        <f>IFERROR(Calculations!D71,"")</f>
        <v>46819.209134466648</v>
      </c>
      <c r="E71" s="4">
        <f>IFERROR(Calculations!E71,"")</f>
        <v>0</v>
      </c>
      <c r="F71" s="4">
        <f>IFERROR(Calculations!F71,"")</f>
        <v>64819.671505207254</v>
      </c>
      <c r="G71" s="4">
        <f>IFERROR(Calculations!G71,"")</f>
        <v>42000</v>
      </c>
      <c r="H71" s="4">
        <f>IFERROR(Calculations!H71,"")</f>
        <v>1064426.4072840738</v>
      </c>
    </row>
    <row r="72" spans="1:8" ht="18" customHeight="1" x14ac:dyDescent="0.15">
      <c r="A72" s="3">
        <f>IFERROR(Calculations!A72,"")</f>
        <v>81</v>
      </c>
      <c r="B72" s="4">
        <f>IFERROR(Calculations!B72,"")</f>
        <v>0</v>
      </c>
      <c r="C72" s="4">
        <f>IFERROR(Calculations!C72,"")</f>
        <v>1064426.4072840738</v>
      </c>
      <c r="D72" s="4">
        <f>IFERROR(Calculations!D72,"")</f>
        <v>47899.188327783319</v>
      </c>
      <c r="E72" s="4">
        <f>IFERROR(Calculations!E72,"")</f>
        <v>0</v>
      </c>
      <c r="F72" s="4">
        <f>IFERROR(Calculations!F72,"")</f>
        <v>65467.868220259341</v>
      </c>
      <c r="G72" s="4">
        <f>IFERROR(Calculations!G72,"")</f>
        <v>42000</v>
      </c>
      <c r="H72" s="4">
        <f>IFERROR(Calculations!H72,"")</f>
        <v>1088857.7273915978</v>
      </c>
    </row>
    <row r="73" spans="1:8" ht="18" customHeight="1" x14ac:dyDescent="0.15">
      <c r="A73" s="3">
        <f>IFERROR(Calculations!A73,"")</f>
        <v>82</v>
      </c>
      <c r="B73" s="4">
        <f>IFERROR(Calculations!B73,"")</f>
        <v>0</v>
      </c>
      <c r="C73" s="4">
        <f>IFERROR(Calculations!C73,"")</f>
        <v>1088857.7273915978</v>
      </c>
      <c r="D73" s="4">
        <f>IFERROR(Calculations!D73,"")</f>
        <v>48998.5977326219</v>
      </c>
      <c r="E73" s="4">
        <f>IFERROR(Calculations!E73,"")</f>
        <v>0</v>
      </c>
      <c r="F73" s="4">
        <f>IFERROR(Calculations!F73,"")</f>
        <v>66122.546902461938</v>
      </c>
      <c r="G73" s="4">
        <f>IFERROR(Calculations!G73,"")</f>
        <v>42000</v>
      </c>
      <c r="H73" s="4">
        <f>IFERROR(Calculations!H73,"")</f>
        <v>1113733.7782217578</v>
      </c>
    </row>
    <row r="74" spans="1:8" ht="18" customHeight="1" x14ac:dyDescent="0.15">
      <c r="A74" s="3">
        <f>IFERROR(Calculations!A74,"")</f>
        <v>83</v>
      </c>
      <c r="B74" s="4">
        <f>IFERROR(Calculations!B74,"")</f>
        <v>0</v>
      </c>
      <c r="C74" s="4">
        <f>IFERROR(Calculations!C74,"")</f>
        <v>1113733.7782217578</v>
      </c>
      <c r="D74" s="4">
        <f>IFERROR(Calculations!D74,"")</f>
        <v>50118.0200199791</v>
      </c>
      <c r="E74" s="4">
        <f>IFERROR(Calculations!E74,"")</f>
        <v>0</v>
      </c>
      <c r="F74" s="4">
        <f>IFERROR(Calculations!F74,"")</f>
        <v>66783.772371486557</v>
      </c>
      <c r="G74" s="4">
        <f>IFERROR(Calculations!G74,"")</f>
        <v>42000</v>
      </c>
      <c r="H74" s="4">
        <f>IFERROR(Calculations!H74,"")</f>
        <v>1139068.0258702503</v>
      </c>
    </row>
    <row r="75" spans="1:8" ht="18" customHeight="1" x14ac:dyDescent="0.15">
      <c r="A75" s="3">
        <f>IFERROR(Calculations!A75,"")</f>
        <v>84</v>
      </c>
      <c r="B75" s="4">
        <f>IFERROR(Calculations!B75,"")</f>
        <v>0</v>
      </c>
      <c r="C75" s="4">
        <f>IFERROR(Calculations!C75,"")</f>
        <v>1139068.0258702503</v>
      </c>
      <c r="D75" s="4">
        <f>IFERROR(Calculations!D75,"")</f>
        <v>51258.061164161263</v>
      </c>
      <c r="E75" s="4">
        <f>IFERROR(Calculations!E75,"")</f>
        <v>0</v>
      </c>
      <c r="F75" s="4">
        <f>IFERROR(Calculations!F75,"")</f>
        <v>67451.610095201409</v>
      </c>
      <c r="G75" s="4">
        <f>IFERROR(Calculations!G75,"")</f>
        <v>42000</v>
      </c>
      <c r="H75" s="4">
        <f>IFERROR(Calculations!H75,"")</f>
        <v>1164874.4769392102</v>
      </c>
    </row>
    <row r="76" spans="1:8" ht="18" customHeight="1" x14ac:dyDescent="0.15">
      <c r="A76" s="3" t="str">
        <f>IFERROR(Calculations!A76,"")</f>
        <v/>
      </c>
      <c r="B76" s="4" t="str">
        <f>IFERROR(Calculations!B76,"")</f>
        <v/>
      </c>
      <c r="C76" s="4" t="str">
        <f>IFERROR(Calculations!C76,"")</f>
        <v/>
      </c>
      <c r="D76" s="4" t="str">
        <f>IFERROR(Calculations!D76,"")</f>
        <v/>
      </c>
      <c r="E76" s="4" t="str">
        <f>IFERROR(Calculations!E76,"")</f>
        <v/>
      </c>
      <c r="F76" s="4" t="str">
        <f>IFERROR(Calculations!F76,"")</f>
        <v/>
      </c>
      <c r="G76" s="4" t="str">
        <f>IFERROR(Calculations!G76,"")</f>
        <v/>
      </c>
      <c r="H76" s="4" t="str">
        <f>IFERROR(Calculations!H76,"")</f>
        <v/>
      </c>
    </row>
    <row r="77" spans="1:8" ht="18" customHeight="1" x14ac:dyDescent="0.15">
      <c r="A77" s="3" t="str">
        <f>IFERROR(Calculations!A77,"")</f>
        <v/>
      </c>
      <c r="B77" s="4" t="str">
        <f>IFERROR(Calculations!B77,"")</f>
        <v/>
      </c>
      <c r="C77" s="4" t="str">
        <f>IFERROR(Calculations!C77,"")</f>
        <v/>
      </c>
      <c r="D77" s="4" t="str">
        <f>IFERROR(Calculations!D77,"")</f>
        <v/>
      </c>
      <c r="E77" s="4" t="str">
        <f>IFERROR(Calculations!E77,"")</f>
        <v/>
      </c>
      <c r="F77" s="4" t="str">
        <f>IFERROR(Calculations!F77,"")</f>
        <v/>
      </c>
      <c r="G77" s="4" t="str">
        <f>IFERROR(Calculations!G77,"")</f>
        <v/>
      </c>
      <c r="H77" s="4" t="str">
        <f>IFERROR(Calculations!H77,"")</f>
        <v/>
      </c>
    </row>
    <row r="78" spans="1:8" ht="18" customHeight="1" x14ac:dyDescent="0.15">
      <c r="A78" s="3" t="str">
        <f>IFERROR(Calculations!A78,"")</f>
        <v/>
      </c>
      <c r="B78" s="4" t="str">
        <f>IFERROR(Calculations!B78,"")</f>
        <v/>
      </c>
      <c r="C78" s="4" t="str">
        <f>IFERROR(Calculations!C78,"")</f>
        <v/>
      </c>
      <c r="D78" s="4" t="str">
        <f>IFERROR(Calculations!D78,"")</f>
        <v/>
      </c>
      <c r="E78" s="4" t="str">
        <f>IFERROR(Calculations!E78,"")</f>
        <v/>
      </c>
      <c r="F78" s="4" t="str">
        <f>IFERROR(Calculations!F78,"")</f>
        <v/>
      </c>
      <c r="G78" s="4" t="str">
        <f>IFERROR(Calculations!G78,"")</f>
        <v/>
      </c>
      <c r="H78" s="4" t="str">
        <f>IFERROR(Calculations!H78,"")</f>
        <v/>
      </c>
    </row>
    <row r="79" spans="1:8" ht="18" customHeight="1" x14ac:dyDescent="0.15">
      <c r="A79" s="3" t="str">
        <f>IFERROR(Calculations!A79,"")</f>
        <v/>
      </c>
      <c r="B79" s="4" t="str">
        <f>IFERROR(Calculations!B79,"")</f>
        <v/>
      </c>
      <c r="C79" s="4" t="str">
        <f>IFERROR(Calculations!C79,"")</f>
        <v/>
      </c>
      <c r="D79" s="4" t="str">
        <f>IFERROR(Calculations!D79,"")</f>
        <v/>
      </c>
      <c r="E79" s="4" t="str">
        <f>IFERROR(Calculations!E79,"")</f>
        <v/>
      </c>
      <c r="F79" s="4" t="str">
        <f>IFERROR(Calculations!F79,"")</f>
        <v/>
      </c>
      <c r="G79" s="4" t="str">
        <f>IFERROR(Calculations!G79,"")</f>
        <v/>
      </c>
      <c r="H79" s="4" t="str">
        <f>IFERROR(Calculations!H79,"")</f>
        <v/>
      </c>
    </row>
    <row r="80" spans="1:8" ht="18" customHeight="1" x14ac:dyDescent="0.15">
      <c r="A80" s="3" t="str">
        <f>IFERROR(Calculations!A80,"")</f>
        <v/>
      </c>
      <c r="B80" s="4" t="str">
        <f>IFERROR(Calculations!B80,"")</f>
        <v/>
      </c>
      <c r="C80" s="4" t="str">
        <f>IFERROR(Calculations!C80,"")</f>
        <v/>
      </c>
      <c r="D80" s="4" t="str">
        <f>IFERROR(Calculations!D80,"")</f>
        <v/>
      </c>
      <c r="E80" s="4" t="str">
        <f>IFERROR(Calculations!E80,"")</f>
        <v/>
      </c>
      <c r="F80" s="4" t="str">
        <f>IFERROR(Calculations!F80,"")</f>
        <v/>
      </c>
      <c r="G80" s="4" t="str">
        <f>IFERROR(Calculations!G80,"")</f>
        <v/>
      </c>
      <c r="H80" s="4" t="str">
        <f>IFERROR(Calculations!H80,"")</f>
        <v/>
      </c>
    </row>
    <row r="81" spans="1:8" ht="18" customHeight="1" x14ac:dyDescent="0.15">
      <c r="A81" s="3" t="str">
        <f>IFERROR(Calculations!A81,"")</f>
        <v/>
      </c>
      <c r="B81" s="4" t="str">
        <f>IFERROR(Calculations!B81,"")</f>
        <v/>
      </c>
      <c r="C81" s="4" t="str">
        <f>IFERROR(Calculations!C81,"")</f>
        <v/>
      </c>
      <c r="D81" s="4" t="str">
        <f>IFERROR(Calculations!D81,"")</f>
        <v/>
      </c>
      <c r="E81" s="4" t="str">
        <f>IFERROR(Calculations!E81,"")</f>
        <v/>
      </c>
      <c r="F81" s="4" t="str">
        <f>IFERROR(Calculations!F81,"")</f>
        <v/>
      </c>
      <c r="G81" s="4" t="str">
        <f>IFERROR(Calculations!G81,"")</f>
        <v/>
      </c>
      <c r="H81" s="4" t="str">
        <f>IFERROR(Calculations!H81,"")</f>
        <v/>
      </c>
    </row>
    <row r="82" spans="1:8" ht="18" customHeight="1" x14ac:dyDescent="0.15">
      <c r="A82" s="3" t="str">
        <f>IFERROR(Calculations!A82,"")</f>
        <v/>
      </c>
      <c r="B82" s="4" t="str">
        <f>IFERROR(Calculations!B82,"")</f>
        <v/>
      </c>
      <c r="C82" s="4" t="str">
        <f>IFERROR(Calculations!C82,"")</f>
        <v/>
      </c>
      <c r="D82" s="4" t="str">
        <f>IFERROR(Calculations!D82,"")</f>
        <v/>
      </c>
      <c r="E82" s="4" t="str">
        <f>IFERROR(Calculations!E82,"")</f>
        <v/>
      </c>
      <c r="F82" s="4" t="str">
        <f>IFERROR(Calculations!F82,"")</f>
        <v/>
      </c>
      <c r="G82" s="4" t="str">
        <f>IFERROR(Calculations!G82,"")</f>
        <v/>
      </c>
      <c r="H82" s="4" t="str">
        <f>IFERROR(Calculations!H82,"")</f>
        <v/>
      </c>
    </row>
    <row r="83" spans="1:8" ht="18" customHeight="1" x14ac:dyDescent="0.15">
      <c r="A83" s="3" t="str">
        <f>IFERROR(Calculations!A83,"")</f>
        <v/>
      </c>
      <c r="B83" s="4" t="str">
        <f>IFERROR(Calculations!B83,"")</f>
        <v/>
      </c>
      <c r="C83" s="4" t="str">
        <f>IFERROR(Calculations!C83,"")</f>
        <v/>
      </c>
      <c r="D83" s="4" t="str">
        <f>IFERROR(Calculations!D83,"")</f>
        <v/>
      </c>
      <c r="E83" s="4" t="str">
        <f>IFERROR(Calculations!E83,"")</f>
        <v/>
      </c>
      <c r="F83" s="4" t="str">
        <f>IFERROR(Calculations!F83,"")</f>
        <v/>
      </c>
      <c r="G83" s="4" t="str">
        <f>IFERROR(Calculations!G83,"")</f>
        <v/>
      </c>
      <c r="H83" s="4" t="str">
        <f>IFERROR(Calculations!H83,"")</f>
        <v/>
      </c>
    </row>
    <row r="84" spans="1:8" ht="18" customHeight="1" x14ac:dyDescent="0.15">
      <c r="A84" s="3" t="str">
        <f>IFERROR(Calculations!A84,"")</f>
        <v/>
      </c>
      <c r="B84" s="4" t="str">
        <f>IFERROR(Calculations!B84,"")</f>
        <v/>
      </c>
      <c r="C84" s="4" t="str">
        <f>IFERROR(Calculations!C84,"")</f>
        <v/>
      </c>
      <c r="D84" s="4" t="str">
        <f>IFERROR(Calculations!D84,"")</f>
        <v/>
      </c>
      <c r="E84" s="4" t="str">
        <f>IFERROR(Calculations!E84,"")</f>
        <v/>
      </c>
      <c r="F84" s="4" t="str">
        <f>IFERROR(Calculations!F84,"")</f>
        <v/>
      </c>
      <c r="G84" s="4" t="str">
        <f>IFERROR(Calculations!G84,"")</f>
        <v/>
      </c>
      <c r="H84" s="4" t="str">
        <f>IFERROR(Calculations!H84,"")</f>
        <v/>
      </c>
    </row>
    <row r="85" spans="1:8" ht="18" customHeight="1" x14ac:dyDescent="0.15">
      <c r="A85" s="3" t="str">
        <f>IFERROR(Calculations!A85,"")</f>
        <v/>
      </c>
      <c r="B85" s="4" t="str">
        <f>IFERROR(Calculations!B85,"")</f>
        <v/>
      </c>
      <c r="C85" s="4" t="str">
        <f>IFERROR(Calculations!C85,"")</f>
        <v/>
      </c>
      <c r="D85" s="4" t="str">
        <f>IFERROR(Calculations!D85,"")</f>
        <v/>
      </c>
      <c r="E85" s="4" t="str">
        <f>IFERROR(Calculations!E85,"")</f>
        <v/>
      </c>
      <c r="F85" s="4" t="str">
        <f>IFERROR(Calculations!F85,"")</f>
        <v/>
      </c>
      <c r="G85" s="4" t="str">
        <f>IFERROR(Calculations!G85,"")</f>
        <v/>
      </c>
      <c r="H85" s="4" t="str">
        <f>IFERROR(Calculations!H85,"")</f>
        <v/>
      </c>
    </row>
    <row r="86" spans="1:8" ht="18" customHeight="1" x14ac:dyDescent="0.15">
      <c r="A86" s="3" t="str">
        <f>IFERROR(Calculations!A86,"")</f>
        <v/>
      </c>
      <c r="B86" s="4" t="str">
        <f>IFERROR(Calculations!B86,"")</f>
        <v/>
      </c>
      <c r="C86" s="4" t="str">
        <f>IFERROR(Calculations!C86,"")</f>
        <v/>
      </c>
      <c r="D86" s="4" t="str">
        <f>IFERROR(Calculations!D86,"")</f>
        <v/>
      </c>
      <c r="E86" s="4" t="str">
        <f>IFERROR(Calculations!E86,"")</f>
        <v/>
      </c>
      <c r="F86" s="4" t="str">
        <f>IFERROR(Calculations!F86,"")</f>
        <v/>
      </c>
      <c r="G86" s="4" t="str">
        <f>IFERROR(Calculations!G86,"")</f>
        <v/>
      </c>
      <c r="H86" s="4" t="str">
        <f>IFERROR(Calculations!H86,"")</f>
        <v/>
      </c>
    </row>
    <row r="87" spans="1:8" ht="18" customHeight="1" x14ac:dyDescent="0.15">
      <c r="A87" s="3" t="str">
        <f>IFERROR(Calculations!A87,"")</f>
        <v/>
      </c>
      <c r="B87" s="4" t="str">
        <f>IFERROR(Calculations!B87,"")</f>
        <v/>
      </c>
      <c r="C87" s="4" t="str">
        <f>IFERROR(Calculations!C87,"")</f>
        <v/>
      </c>
      <c r="D87" s="4" t="str">
        <f>IFERROR(Calculations!D87,"")</f>
        <v/>
      </c>
      <c r="E87" s="4" t="str">
        <f>IFERROR(Calculations!E87,"")</f>
        <v/>
      </c>
      <c r="F87" s="4" t="str">
        <f>IFERROR(Calculations!F87,"")</f>
        <v/>
      </c>
      <c r="G87" s="4" t="str">
        <f>IFERROR(Calculations!G87,"")</f>
        <v/>
      </c>
      <c r="H87" s="4" t="str">
        <f>IFERROR(Calculations!H87,"")</f>
        <v/>
      </c>
    </row>
    <row r="88" spans="1:8" ht="18" customHeight="1" x14ac:dyDescent="0.15">
      <c r="A88" s="3" t="str">
        <f>IFERROR(Calculations!A88,"")</f>
        <v/>
      </c>
      <c r="B88" s="4" t="str">
        <f>IFERROR(Calculations!B88,"")</f>
        <v/>
      </c>
      <c r="C88" s="4" t="str">
        <f>IFERROR(Calculations!C88,"")</f>
        <v/>
      </c>
      <c r="D88" s="4" t="str">
        <f>IFERROR(Calculations!D88,"")</f>
        <v/>
      </c>
      <c r="E88" s="4" t="str">
        <f>IFERROR(Calculations!E88,"")</f>
        <v/>
      </c>
      <c r="F88" s="4" t="str">
        <f>IFERROR(Calculations!F88,"")</f>
        <v/>
      </c>
      <c r="G88" s="4" t="str">
        <f>IFERROR(Calculations!G88,"")</f>
        <v/>
      </c>
      <c r="H88" s="4" t="str">
        <f>IFERROR(Calculations!H88,"")</f>
        <v/>
      </c>
    </row>
    <row r="89" spans="1:8" ht="18" customHeight="1" x14ac:dyDescent="0.15">
      <c r="A89" s="3" t="str">
        <f>IFERROR(Calculations!A89,"")</f>
        <v/>
      </c>
      <c r="B89" s="4" t="str">
        <f>IFERROR(Calculations!B89,"")</f>
        <v/>
      </c>
      <c r="C89" s="4" t="str">
        <f>IFERROR(Calculations!C89,"")</f>
        <v/>
      </c>
      <c r="D89" s="4" t="str">
        <f>IFERROR(Calculations!D89,"")</f>
        <v/>
      </c>
      <c r="E89" s="4" t="str">
        <f>IFERROR(Calculations!E89,"")</f>
        <v/>
      </c>
      <c r="F89" s="4" t="str">
        <f>IFERROR(Calculations!F89,"")</f>
        <v/>
      </c>
      <c r="G89" s="4" t="str">
        <f>IFERROR(Calculations!G89,"")</f>
        <v/>
      </c>
      <c r="H89" s="4" t="str">
        <f>IFERROR(Calculations!H89,"")</f>
        <v/>
      </c>
    </row>
    <row r="90" spans="1:8" ht="18" customHeight="1" x14ac:dyDescent="0.15">
      <c r="A90" s="3" t="str">
        <f>IFERROR(Calculations!A90,"")</f>
        <v/>
      </c>
      <c r="B90" s="4" t="str">
        <f>IFERROR(Calculations!B90,"")</f>
        <v/>
      </c>
      <c r="C90" s="4" t="str">
        <f>IFERROR(Calculations!C90,"")</f>
        <v/>
      </c>
      <c r="D90" s="4" t="str">
        <f>IFERROR(Calculations!D90,"")</f>
        <v/>
      </c>
      <c r="E90" s="4" t="str">
        <f>IFERROR(Calculations!E90,"")</f>
        <v/>
      </c>
      <c r="F90" s="4" t="str">
        <f>IFERROR(Calculations!F90,"")</f>
        <v/>
      </c>
      <c r="G90" s="4" t="str">
        <f>IFERROR(Calculations!G90,"")</f>
        <v/>
      </c>
      <c r="H90" s="4" t="str">
        <f>IFERROR(Calculations!H90,"")</f>
        <v/>
      </c>
    </row>
    <row r="91" spans="1:8" ht="18" customHeight="1" x14ac:dyDescent="0.15">
      <c r="A91" s="3" t="str">
        <f>IFERROR(Calculations!A91,"")</f>
        <v/>
      </c>
      <c r="B91" s="4" t="str">
        <f>IFERROR(Calculations!B91,"")</f>
        <v/>
      </c>
      <c r="C91" s="4" t="str">
        <f>IFERROR(Calculations!C91,"")</f>
        <v/>
      </c>
      <c r="D91" s="4" t="str">
        <f>IFERROR(Calculations!D91,"")</f>
        <v/>
      </c>
      <c r="E91" s="4" t="str">
        <f>IFERROR(Calculations!E91,"")</f>
        <v/>
      </c>
      <c r="F91" s="4" t="str">
        <f>IFERROR(Calculations!F91,"")</f>
        <v/>
      </c>
      <c r="G91" s="4" t="str">
        <f>IFERROR(Calculations!G91,"")</f>
        <v/>
      </c>
      <c r="H91" s="4" t="str">
        <f>IFERROR(Calculations!H91,"")</f>
        <v/>
      </c>
    </row>
    <row r="92" spans="1:8" ht="18" customHeight="1" x14ac:dyDescent="0.15">
      <c r="A92" s="3" t="str">
        <f>IFERROR(Calculations!A92,"")</f>
        <v/>
      </c>
      <c r="B92" s="4" t="str">
        <f>IFERROR(Calculations!B92,"")</f>
        <v/>
      </c>
      <c r="C92" s="4" t="str">
        <f>IFERROR(Calculations!C92,"")</f>
        <v/>
      </c>
      <c r="D92" s="4" t="str">
        <f>IFERROR(Calculations!D92,"")</f>
        <v/>
      </c>
      <c r="E92" s="4" t="str">
        <f>IFERROR(Calculations!E92,"")</f>
        <v/>
      </c>
      <c r="F92" s="4" t="str">
        <f>IFERROR(Calculations!F92,"")</f>
        <v/>
      </c>
      <c r="G92" s="4" t="str">
        <f>IFERROR(Calculations!G92,"")</f>
        <v/>
      </c>
      <c r="H92" s="4" t="str">
        <f>IFERROR(Calculations!H92,"")</f>
        <v/>
      </c>
    </row>
    <row r="93" spans="1:8" ht="18" customHeight="1" x14ac:dyDescent="0.15">
      <c r="A93" s="3" t="str">
        <f>IFERROR(Calculations!A93,"")</f>
        <v/>
      </c>
      <c r="B93" s="4" t="str">
        <f>IFERROR(Calculations!B93,"")</f>
        <v/>
      </c>
      <c r="C93" s="4" t="str">
        <f>IFERROR(Calculations!C93,"")</f>
        <v/>
      </c>
      <c r="D93" s="4" t="str">
        <f>IFERROR(Calculations!D93,"")</f>
        <v/>
      </c>
      <c r="E93" s="4" t="str">
        <f>IFERROR(Calculations!E93,"")</f>
        <v/>
      </c>
      <c r="F93" s="4" t="str">
        <f>IFERROR(Calculations!F93,"")</f>
        <v/>
      </c>
      <c r="G93" s="4" t="str">
        <f>IFERROR(Calculations!G93,"")</f>
        <v/>
      </c>
      <c r="H93" s="4" t="str">
        <f>IFERROR(Calculations!H93,"")</f>
        <v/>
      </c>
    </row>
    <row r="94" spans="1:8" ht="18" customHeight="1" x14ac:dyDescent="0.15">
      <c r="A94" s="3" t="str">
        <f>IFERROR(Calculations!A94,"")</f>
        <v/>
      </c>
      <c r="B94" s="4" t="str">
        <f>IFERROR(Calculations!B94,"")</f>
        <v/>
      </c>
      <c r="C94" s="4" t="str">
        <f>IFERROR(Calculations!C94,"")</f>
        <v/>
      </c>
      <c r="D94" s="4" t="str">
        <f>IFERROR(Calculations!D94,"")</f>
        <v/>
      </c>
      <c r="E94" s="4" t="str">
        <f>IFERROR(Calculations!E94,"")</f>
        <v/>
      </c>
      <c r="F94" s="4" t="str">
        <f>IFERROR(Calculations!F94,"")</f>
        <v/>
      </c>
      <c r="G94" s="4" t="str">
        <f>IFERROR(Calculations!G94,"")</f>
        <v/>
      </c>
      <c r="H94" s="4" t="str">
        <f>IFERROR(Calculations!H94,"")</f>
        <v/>
      </c>
    </row>
    <row r="95" spans="1:8" ht="18" customHeight="1" x14ac:dyDescent="0.15">
      <c r="A95" s="3" t="str">
        <f>IFERROR(Calculations!A95,"")</f>
        <v/>
      </c>
      <c r="B95" s="4" t="str">
        <f>IFERROR(Calculations!B95,"")</f>
        <v/>
      </c>
      <c r="C95" s="4" t="str">
        <f>IFERROR(Calculations!C95,"")</f>
        <v/>
      </c>
      <c r="D95" s="4" t="str">
        <f>IFERROR(Calculations!D95,"")</f>
        <v/>
      </c>
      <c r="E95" s="4" t="str">
        <f>IFERROR(Calculations!E95,"")</f>
        <v/>
      </c>
      <c r="F95" s="4" t="str">
        <f>IFERROR(Calculations!F95,"")</f>
        <v/>
      </c>
      <c r="G95" s="4" t="str">
        <f>IFERROR(Calculations!G95,"")</f>
        <v/>
      </c>
      <c r="H95" s="4" t="str">
        <f>IFERROR(Calculations!H95,"")</f>
        <v/>
      </c>
    </row>
    <row r="96" spans="1:8" ht="18" customHeight="1" x14ac:dyDescent="0.15">
      <c r="A96" s="3" t="str">
        <f>IFERROR(Calculations!A96,"")</f>
        <v/>
      </c>
      <c r="B96" s="4" t="str">
        <f>IFERROR(Calculations!B96,"")</f>
        <v/>
      </c>
      <c r="C96" s="4" t="str">
        <f>IFERROR(Calculations!C96,"")</f>
        <v/>
      </c>
      <c r="D96" s="4" t="str">
        <f>IFERROR(Calculations!D96,"")</f>
        <v/>
      </c>
      <c r="E96" s="4" t="str">
        <f>IFERROR(Calculations!E96,"")</f>
        <v/>
      </c>
      <c r="F96" s="4" t="str">
        <f>IFERROR(Calculations!F96,"")</f>
        <v/>
      </c>
      <c r="G96" s="4" t="str">
        <f>IFERROR(Calculations!G96,"")</f>
        <v/>
      </c>
      <c r="H96" s="4" t="str">
        <f>IFERROR(Calculations!H96,"")</f>
        <v/>
      </c>
    </row>
    <row r="97" spans="1:8" ht="18" customHeight="1" x14ac:dyDescent="0.15">
      <c r="A97" s="3" t="str">
        <f>IFERROR(Calculations!A97,"")</f>
        <v/>
      </c>
      <c r="B97" s="4" t="str">
        <f>IFERROR(Calculations!B97,"")</f>
        <v/>
      </c>
      <c r="C97" s="4" t="str">
        <f>IFERROR(Calculations!C97,"")</f>
        <v/>
      </c>
      <c r="D97" s="4" t="str">
        <f>IFERROR(Calculations!D97,"")</f>
        <v/>
      </c>
      <c r="E97" s="4" t="str">
        <f>IFERROR(Calculations!E97,"")</f>
        <v/>
      </c>
      <c r="F97" s="4" t="str">
        <f>IFERROR(Calculations!F97,"")</f>
        <v/>
      </c>
      <c r="G97" s="4" t="str">
        <f>IFERROR(Calculations!G97,"")</f>
        <v/>
      </c>
      <c r="H97" s="4" t="str">
        <f>IFERROR(Calculations!H97,"")</f>
        <v/>
      </c>
    </row>
    <row r="98" spans="1:8" ht="18" customHeight="1" x14ac:dyDescent="0.15">
      <c r="A98" s="3" t="str">
        <f>IFERROR(Calculations!A98,"")</f>
        <v/>
      </c>
      <c r="B98" s="4" t="str">
        <f>IFERROR(Calculations!B98,"")</f>
        <v/>
      </c>
      <c r="C98" s="4" t="str">
        <f>IFERROR(Calculations!C98,"")</f>
        <v/>
      </c>
      <c r="D98" s="4" t="str">
        <f>IFERROR(Calculations!D98,"")</f>
        <v/>
      </c>
      <c r="E98" s="4" t="str">
        <f>IFERROR(Calculations!E98,"")</f>
        <v/>
      </c>
      <c r="F98" s="4" t="str">
        <f>IFERROR(Calculations!F98,"")</f>
        <v/>
      </c>
      <c r="G98" s="4" t="str">
        <f>IFERROR(Calculations!G98,"")</f>
        <v/>
      </c>
      <c r="H98" s="4" t="str">
        <f>IFERROR(Calculations!H98,"")</f>
        <v/>
      </c>
    </row>
    <row r="99" spans="1:8" ht="18" customHeight="1" x14ac:dyDescent="0.15">
      <c r="A99" s="3" t="str">
        <f>IFERROR(Calculations!A99,"")</f>
        <v/>
      </c>
      <c r="B99" s="4" t="str">
        <f>IFERROR(Calculations!B99,"")</f>
        <v/>
      </c>
      <c r="C99" s="4" t="str">
        <f>IFERROR(Calculations!C99,"")</f>
        <v/>
      </c>
      <c r="D99" s="4" t="str">
        <f>IFERROR(Calculations!D99,"")</f>
        <v/>
      </c>
      <c r="E99" s="4" t="str">
        <f>IFERROR(Calculations!E99,"")</f>
        <v/>
      </c>
      <c r="F99" s="4" t="str">
        <f>IFERROR(Calculations!F99,"")</f>
        <v/>
      </c>
      <c r="G99" s="4" t="str">
        <f>IFERROR(Calculations!G99,"")</f>
        <v/>
      </c>
      <c r="H99" s="4" t="str">
        <f>IFERROR(Calculations!H99,"")</f>
        <v/>
      </c>
    </row>
    <row r="100" spans="1:8" ht="18" customHeight="1" x14ac:dyDescent="0.15">
      <c r="A100" s="3" t="str">
        <f>IFERROR(Calculations!A100,"")</f>
        <v/>
      </c>
      <c r="B100" s="4" t="str">
        <f>IFERROR(Calculations!B100,"")</f>
        <v/>
      </c>
      <c r="C100" s="4" t="str">
        <f>IFERROR(Calculations!C100,"")</f>
        <v/>
      </c>
      <c r="D100" s="4" t="str">
        <f>IFERROR(Calculations!D100,"")</f>
        <v/>
      </c>
      <c r="E100" s="4" t="str">
        <f>IFERROR(Calculations!E100,"")</f>
        <v/>
      </c>
      <c r="F100" s="4" t="str">
        <f>IFERROR(Calculations!F100,"")</f>
        <v/>
      </c>
      <c r="G100" s="4" t="str">
        <f>IFERROR(Calculations!G100,"")</f>
        <v/>
      </c>
      <c r="H100" s="4" t="str">
        <f>IFERROR(Calculations!H100,"")</f>
        <v/>
      </c>
    </row>
    <row r="101" spans="1:8" ht="18" customHeight="1" x14ac:dyDescent="0.15">
      <c r="A101" s="3" t="str">
        <f>IFERROR(Calculations!A101,"")</f>
        <v/>
      </c>
      <c r="B101" s="4" t="str">
        <f>IFERROR(Calculations!B101,"")</f>
        <v/>
      </c>
      <c r="C101" s="4" t="str">
        <f>IFERROR(Calculations!C101,"")</f>
        <v/>
      </c>
      <c r="D101" s="4" t="str">
        <f>IFERROR(Calculations!D101,"")</f>
        <v/>
      </c>
      <c r="E101" s="4" t="str">
        <f>IFERROR(Calculations!E101,"")</f>
        <v/>
      </c>
      <c r="F101" s="4" t="str">
        <f>IFERROR(Calculations!F101,"")</f>
        <v/>
      </c>
      <c r="G101" s="4" t="str">
        <f>IFERROR(Calculations!G101,"")</f>
        <v/>
      </c>
      <c r="H101" s="4" t="str">
        <f>IFERROR(Calculations!H101,"")</f>
        <v/>
      </c>
    </row>
    <row r="102" spans="1:8" ht="18" customHeight="1" x14ac:dyDescent="0.15">
      <c r="A102" s="3" t="str">
        <f>IFERROR(Calculations!A102,"")</f>
        <v/>
      </c>
      <c r="B102" s="4" t="str">
        <f>IFERROR(Calculations!B102,"")</f>
        <v/>
      </c>
      <c r="C102" s="4" t="str">
        <f>IFERROR(Calculations!C102,"")</f>
        <v/>
      </c>
      <c r="D102" s="4" t="str">
        <f>IFERROR(Calculations!D102,"")</f>
        <v/>
      </c>
      <c r="E102" s="4" t="str">
        <f>IFERROR(Calculations!E102,"")</f>
        <v/>
      </c>
      <c r="F102" s="4" t="str">
        <f>IFERROR(Calculations!F102,"")</f>
        <v/>
      </c>
      <c r="G102" s="4" t="str">
        <f>IFERROR(Calculations!G102,"")</f>
        <v/>
      </c>
      <c r="H102" s="4" t="str">
        <f>IFERROR(Calculations!H102,"")</f>
        <v/>
      </c>
    </row>
    <row r="103" spans="1:8" ht="18" customHeight="1" x14ac:dyDescent="0.15">
      <c r="A103" s="3" t="str">
        <f>IFERROR(Calculations!A103,"")</f>
        <v/>
      </c>
      <c r="B103" s="4" t="str">
        <f>IFERROR(Calculations!B103,"")</f>
        <v/>
      </c>
      <c r="C103" s="4" t="str">
        <f>IFERROR(Calculations!C103,"")</f>
        <v/>
      </c>
      <c r="D103" s="4" t="str">
        <f>IFERROR(Calculations!D103,"")</f>
        <v/>
      </c>
      <c r="E103" s="4" t="str">
        <f>IFERROR(Calculations!E103,"")</f>
        <v/>
      </c>
      <c r="F103" s="4" t="str">
        <f>IFERROR(Calculations!F103,"")</f>
        <v/>
      </c>
      <c r="G103" s="4" t="str">
        <f>IFERROR(Calculations!G103,"")</f>
        <v/>
      </c>
      <c r="H103" s="4" t="str">
        <f>IFERROR(Calculations!H103,"")</f>
        <v/>
      </c>
    </row>
    <row r="104" spans="1:8" ht="18" customHeight="1" x14ac:dyDescent="0.15">
      <c r="A104" s="3" t="str">
        <f>IFERROR(Calculations!A104,"")</f>
        <v/>
      </c>
      <c r="B104" s="4" t="str">
        <f>IFERROR(Calculations!B104,"")</f>
        <v/>
      </c>
      <c r="C104" s="4" t="str">
        <f>IFERROR(Calculations!C104,"")</f>
        <v/>
      </c>
      <c r="D104" s="4" t="str">
        <f>IFERROR(Calculations!D104,"")</f>
        <v/>
      </c>
      <c r="E104" s="4" t="str">
        <f>IFERROR(Calculations!E104,"")</f>
        <v/>
      </c>
      <c r="F104" s="4" t="str">
        <f>IFERROR(Calculations!F104,"")</f>
        <v/>
      </c>
      <c r="G104" s="4" t="str">
        <f>IFERROR(Calculations!G104,"")</f>
        <v/>
      </c>
      <c r="H104" s="4" t="str">
        <f>IFERROR(Calculations!H104,"")</f>
        <v/>
      </c>
    </row>
    <row r="105" spans="1:8" ht="18" customHeight="1" x14ac:dyDescent="0.15">
      <c r="A105" s="3" t="str">
        <f>IFERROR(Calculations!A105,"")</f>
        <v/>
      </c>
      <c r="B105" s="4" t="str">
        <f>IFERROR(Calculations!B105,"")</f>
        <v/>
      </c>
      <c r="C105" s="4" t="str">
        <f>IFERROR(Calculations!C105,"")</f>
        <v/>
      </c>
      <c r="D105" s="4" t="str">
        <f>IFERROR(Calculations!D105,"")</f>
        <v/>
      </c>
      <c r="E105" s="4" t="str">
        <f>IFERROR(Calculations!E105,"")</f>
        <v/>
      </c>
      <c r="F105" s="4" t="str">
        <f>IFERROR(Calculations!F105,"")</f>
        <v/>
      </c>
      <c r="G105" s="4" t="str">
        <f>IFERROR(Calculations!G105,"")</f>
        <v/>
      </c>
      <c r="H105" s="4" t="str">
        <f>IFERROR(Calculations!H105,"")</f>
        <v/>
      </c>
    </row>
    <row r="106" spans="1:8" ht="18" customHeight="1" x14ac:dyDescent="0.15">
      <c r="A106" s="3" t="str">
        <f>IFERROR(Calculations!A106,"")</f>
        <v/>
      </c>
      <c r="B106" s="4" t="str">
        <f>IFERROR(Calculations!B106,"")</f>
        <v/>
      </c>
      <c r="C106" s="4" t="str">
        <f>IFERROR(Calculations!C106,"")</f>
        <v/>
      </c>
      <c r="D106" s="4" t="str">
        <f>IFERROR(Calculations!D106,"")</f>
        <v/>
      </c>
      <c r="E106" s="4" t="str">
        <f>IFERROR(Calculations!E106,"")</f>
        <v/>
      </c>
      <c r="F106" s="4" t="str">
        <f>IFERROR(Calculations!F106,"")</f>
        <v/>
      </c>
      <c r="G106" s="4" t="str">
        <f>IFERROR(Calculations!G106,"")</f>
        <v/>
      </c>
      <c r="H106" s="4" t="str">
        <f>IFERROR(Calculations!H106,"")</f>
        <v/>
      </c>
    </row>
    <row r="107" spans="1:8" ht="18" customHeight="1" x14ac:dyDescent="0.15">
      <c r="A107" s="3" t="str">
        <f>IFERROR(Calculations!A107,"")</f>
        <v/>
      </c>
      <c r="B107" s="4" t="str">
        <f>IFERROR(Calculations!B107,"")</f>
        <v/>
      </c>
      <c r="C107" s="4" t="str">
        <f>IFERROR(Calculations!C107,"")</f>
        <v/>
      </c>
      <c r="D107" s="4" t="str">
        <f>IFERROR(Calculations!D107,"")</f>
        <v/>
      </c>
      <c r="E107" s="4" t="str">
        <f>IFERROR(Calculations!E107,"")</f>
        <v/>
      </c>
      <c r="F107" s="4" t="str">
        <f>IFERROR(Calculations!F107,"")</f>
        <v/>
      </c>
      <c r="G107" s="4" t="str">
        <f>IFERROR(Calculations!G107,"")</f>
        <v/>
      </c>
      <c r="H107" s="4" t="str">
        <f>IFERROR(Calculations!H107,"")</f>
        <v/>
      </c>
    </row>
    <row r="108" spans="1:8" ht="18" customHeight="1" x14ac:dyDescent="0.15">
      <c r="A108" s="3" t="str">
        <f>IFERROR(Calculations!A108,"")</f>
        <v/>
      </c>
      <c r="B108" s="4" t="str">
        <f>IFERROR(Calculations!B108,"")</f>
        <v/>
      </c>
      <c r="C108" s="4" t="str">
        <f>IFERROR(Calculations!C108,"")</f>
        <v/>
      </c>
      <c r="D108" s="4" t="str">
        <f>IFERROR(Calculations!D108,"")</f>
        <v/>
      </c>
      <c r="E108" s="4" t="str">
        <f>IFERROR(Calculations!E108,"")</f>
        <v/>
      </c>
      <c r="F108" s="4" t="str">
        <f>IFERROR(Calculations!F108,"")</f>
        <v/>
      </c>
      <c r="G108" s="4" t="str">
        <f>IFERROR(Calculations!G108,"")</f>
        <v/>
      </c>
      <c r="H108" s="4" t="str">
        <f>IFERROR(Calculations!H108,"")</f>
        <v/>
      </c>
    </row>
    <row r="109" spans="1:8" ht="18" customHeight="1" x14ac:dyDescent="0.15">
      <c r="A109" s="3" t="str">
        <f>IFERROR(Calculations!A109,"")</f>
        <v/>
      </c>
      <c r="B109" s="4" t="str">
        <f>IFERROR(Calculations!B109,"")</f>
        <v/>
      </c>
      <c r="C109" s="4" t="str">
        <f>IFERROR(Calculations!C109,"")</f>
        <v/>
      </c>
      <c r="D109" s="4" t="str">
        <f>IFERROR(Calculations!D109,"")</f>
        <v/>
      </c>
      <c r="E109" s="4" t="str">
        <f>IFERROR(Calculations!E109,"")</f>
        <v/>
      </c>
      <c r="F109" s="4" t="str">
        <f>IFERROR(Calculations!F109,"")</f>
        <v/>
      </c>
      <c r="G109" s="4" t="str">
        <f>IFERROR(Calculations!G109,"")</f>
        <v/>
      </c>
      <c r="H109" s="4" t="str">
        <f>IFERROR(Calculations!H109,"")</f>
        <v/>
      </c>
    </row>
    <row r="110" spans="1:8" ht="18" customHeight="1" x14ac:dyDescent="0.15">
      <c r="A110" s="3" t="str">
        <f>IFERROR(Calculations!A110,"")</f>
        <v/>
      </c>
      <c r="B110" s="4" t="str">
        <f>IFERROR(Calculations!B110,"")</f>
        <v/>
      </c>
      <c r="C110" s="4" t="str">
        <f>IFERROR(Calculations!C110,"")</f>
        <v/>
      </c>
      <c r="D110" s="4" t="str">
        <f>IFERROR(Calculations!D110,"")</f>
        <v/>
      </c>
      <c r="E110" s="4" t="str">
        <f>IFERROR(Calculations!E110,"")</f>
        <v/>
      </c>
      <c r="F110" s="4" t="str">
        <f>IFERROR(Calculations!F110,"")</f>
        <v/>
      </c>
      <c r="G110" s="4" t="str">
        <f>IFERROR(Calculations!G110,"")</f>
        <v/>
      </c>
      <c r="H110" s="4" t="str">
        <f>IFERROR(Calculations!H110,"")</f>
        <v/>
      </c>
    </row>
    <row r="111" spans="1:8" ht="18" customHeight="1" x14ac:dyDescent="0.15">
      <c r="A111" s="3" t="str">
        <f>IFERROR(Calculations!A111,"")</f>
        <v/>
      </c>
      <c r="B111" s="4" t="str">
        <f>IFERROR(Calculations!B111,"")</f>
        <v/>
      </c>
      <c r="C111" s="4" t="str">
        <f>IFERROR(Calculations!C111,"")</f>
        <v/>
      </c>
      <c r="D111" s="4" t="str">
        <f>IFERROR(Calculations!D111,"")</f>
        <v/>
      </c>
      <c r="E111" s="4" t="str">
        <f>IFERROR(Calculations!E111,"")</f>
        <v/>
      </c>
      <c r="F111" s="4" t="str">
        <f>IFERROR(Calculations!F111,"")</f>
        <v/>
      </c>
      <c r="G111" s="4" t="str">
        <f>IFERROR(Calculations!G111,"")</f>
        <v/>
      </c>
      <c r="H111" s="4" t="str">
        <f>IFERROR(Calculations!H111,"")</f>
        <v/>
      </c>
    </row>
    <row r="112" spans="1:8" ht="18" customHeight="1" x14ac:dyDescent="0.15">
      <c r="A112" s="3" t="str">
        <f>IFERROR(Calculations!A112,"")</f>
        <v/>
      </c>
      <c r="B112" s="4" t="str">
        <f>IFERROR(Calculations!B112,"")</f>
        <v/>
      </c>
      <c r="C112" s="4" t="str">
        <f>IFERROR(Calculations!C112,"")</f>
        <v/>
      </c>
      <c r="D112" s="4" t="str">
        <f>IFERROR(Calculations!D112,"")</f>
        <v/>
      </c>
      <c r="E112" s="4" t="str">
        <f>IFERROR(Calculations!E112,"")</f>
        <v/>
      </c>
      <c r="F112" s="4" t="str">
        <f>IFERROR(Calculations!F112,"")</f>
        <v/>
      </c>
      <c r="G112" s="4" t="str">
        <f>IFERROR(Calculations!G112,"")</f>
        <v/>
      </c>
      <c r="H112" s="4" t="str">
        <f>IFERROR(Calculations!H112,"")</f>
        <v/>
      </c>
    </row>
    <row r="113" spans="1:8" ht="18" customHeight="1" x14ac:dyDescent="0.15">
      <c r="A113" s="3" t="str">
        <f>IFERROR(Calculations!A113,"")</f>
        <v/>
      </c>
      <c r="B113" s="4" t="str">
        <f>IFERROR(Calculations!B113,"")</f>
        <v/>
      </c>
      <c r="C113" s="4" t="str">
        <f>IFERROR(Calculations!C113,"")</f>
        <v/>
      </c>
      <c r="D113" s="4" t="str">
        <f>IFERROR(Calculations!D113,"")</f>
        <v/>
      </c>
      <c r="E113" s="4" t="str">
        <f>IFERROR(Calculations!E113,"")</f>
        <v/>
      </c>
      <c r="F113" s="4" t="str">
        <f>IFERROR(Calculations!F113,"")</f>
        <v/>
      </c>
      <c r="G113" s="4" t="str">
        <f>IFERROR(Calculations!G113,"")</f>
        <v/>
      </c>
      <c r="H113" s="4" t="str">
        <f>IFERROR(Calculations!H113,"")</f>
        <v/>
      </c>
    </row>
    <row r="114" spans="1:8" ht="18" customHeight="1" x14ac:dyDescent="0.15">
      <c r="A114" s="3" t="str">
        <f>IFERROR(Calculations!A114,"")</f>
        <v/>
      </c>
      <c r="B114" s="4" t="str">
        <f>IFERROR(Calculations!B114,"")</f>
        <v/>
      </c>
      <c r="C114" s="4" t="str">
        <f>IFERROR(Calculations!C114,"")</f>
        <v/>
      </c>
      <c r="D114" s="4" t="str">
        <f>IFERROR(Calculations!D114,"")</f>
        <v/>
      </c>
      <c r="E114" s="4" t="str">
        <f>IFERROR(Calculations!E114,"")</f>
        <v/>
      </c>
      <c r="F114" s="4" t="str">
        <f>IFERROR(Calculations!F114,"")</f>
        <v/>
      </c>
      <c r="G114" s="4" t="str">
        <f>IFERROR(Calculations!G114,"")</f>
        <v/>
      </c>
      <c r="H114" s="4" t="str">
        <f>IFERROR(Calculations!H114,"")</f>
        <v/>
      </c>
    </row>
    <row r="115" spans="1:8" ht="18" customHeight="1" x14ac:dyDescent="0.15">
      <c r="A115" s="3" t="str">
        <f>IFERROR(Calculations!A115,"")</f>
        <v/>
      </c>
      <c r="B115" s="4" t="str">
        <f>IFERROR(Calculations!B115,"")</f>
        <v/>
      </c>
      <c r="C115" s="4" t="str">
        <f>IFERROR(Calculations!C115,"")</f>
        <v/>
      </c>
      <c r="D115" s="4" t="str">
        <f>IFERROR(Calculations!D115,"")</f>
        <v/>
      </c>
      <c r="E115" s="4" t="str">
        <f>IFERROR(Calculations!E115,"")</f>
        <v/>
      </c>
      <c r="F115" s="4" t="str">
        <f>IFERROR(Calculations!F115,"")</f>
        <v/>
      </c>
      <c r="G115" s="4" t="str">
        <f>IFERROR(Calculations!G115,"")</f>
        <v/>
      </c>
      <c r="H115" s="4" t="str">
        <f>IFERROR(Calculations!H115,"")</f>
        <v/>
      </c>
    </row>
  </sheetData>
  <dataConsolidate/>
  <mergeCells count="18">
    <mergeCell ref="A14:I14"/>
    <mergeCell ref="G6:H6"/>
    <mergeCell ref="G7:H7"/>
    <mergeCell ref="A1:I1"/>
    <mergeCell ref="A4:I4"/>
    <mergeCell ref="A2:I2"/>
    <mergeCell ref="A3:I3"/>
    <mergeCell ref="D11:E11"/>
    <mergeCell ref="G8:H8"/>
    <mergeCell ref="G9:H9"/>
    <mergeCell ref="G10:H10"/>
    <mergeCell ref="D8:E8"/>
    <mergeCell ref="D9:E9"/>
    <mergeCell ref="D10:E10"/>
    <mergeCell ref="G5:H5"/>
    <mergeCell ref="D5:E5"/>
    <mergeCell ref="D6:E6"/>
    <mergeCell ref="D7:E7"/>
  </mergeCells>
  <conditionalFormatting sqref="A16:H115">
    <cfRule type="expression" dxfId="0" priority="3">
      <formula>LEN(A16)*MOD(ROW(A16),2)</formula>
    </cfRule>
  </conditionalFormatting>
  <dataValidations count="49">
    <dataValidation allowBlank="1" showInputMessage="1" showErrorMessage="1" prompt="Enter details for at retirement in cells G7 through G12" sqref="D5:E5" xr:uid="{00000000-0002-0000-0000-000003000000}"/>
    <dataValidation allowBlank="1" showInputMessage="1" showErrorMessage="1" prompt="Enter details for uncertainty in cells J7 through J11" sqref="G5:H5" xr:uid="{00000000-0002-0000-0000-000004000000}"/>
    <dataValidation allowBlank="1" showInputMessage="1" showErrorMessage="1" prompt="Enter Your Current Age in cell at right" sqref="B6" xr:uid="{00000000-0002-0000-0000-000005000000}"/>
    <dataValidation allowBlank="1" showInputMessage="1" showErrorMessage="1" prompt="Enter Your Current Age in this cell" sqref="C6" xr:uid="{00000000-0002-0000-0000-000006000000}"/>
    <dataValidation allowBlank="1" showInputMessage="1" showErrorMessage="1" prompt="Enter Annual Income in cell at right" sqref="B7" xr:uid="{00000000-0002-0000-0000-000007000000}"/>
    <dataValidation allowBlank="1" showInputMessage="1" showErrorMessage="1" prompt="Enter percent Annual Inflation and Income Increases in this cell" sqref="C8" xr:uid="{00000000-0002-0000-0000-000008000000}"/>
    <dataValidation allowBlank="1" showInputMessage="1" showErrorMessage="1" prompt="Enter Annual Income in this cell" sqref="C7" xr:uid="{00000000-0002-0000-0000-000009000000}"/>
    <dataValidation allowBlank="1" showInputMessage="1" showErrorMessage="1" prompt="Enter Retirement Savings Balance in cell at right" sqref="B9" xr:uid="{00000000-0002-0000-0000-00000A000000}"/>
    <dataValidation allowBlank="1" showInputMessage="1" showErrorMessage="1" prompt="Enter Retirement Savings Balance in this cell" sqref="C9" xr:uid="{00000000-0002-0000-0000-00000B000000}"/>
    <dataValidation allowBlank="1" showInputMessage="1" showErrorMessage="1" prompt="Enter Annual Savings Amount in cell at right" sqref="B10" xr:uid="{00000000-0002-0000-0000-00000C000000}"/>
    <dataValidation allowBlank="1" showInputMessage="1" showErrorMessage="1" prompt="Enter Annual Savings Amount in this cell" sqref="C10" xr:uid="{00000000-0002-0000-0000-00000D000000}"/>
    <dataValidation allowBlank="1" showInputMessage="1" showErrorMessage="1" prompt="Enter percent Annual Savings Increases in cell at right" sqref="B11" xr:uid="{00000000-0002-0000-0000-00000E000000}"/>
    <dataValidation allowBlank="1" showInputMessage="1" showErrorMessage="1" prompt="Enter percent Annual Savings Increases in this cell" sqref="C11" xr:uid="{00000000-0002-0000-0000-00000F000000}"/>
    <dataValidation allowBlank="1" showInputMessage="1" showErrorMessage="1" prompt="Enter percent Investment Return in cell at right" sqref="D11:E11 B12" xr:uid="{00000000-0002-0000-0000-000010000000}"/>
    <dataValidation allowBlank="1" showInputMessage="1" showErrorMessage="1" prompt="Enter percent Investment Return in this cell" sqref="F11 C12" xr:uid="{00000000-0002-0000-0000-000011000000}"/>
    <dataValidation allowBlank="1" showInputMessage="1" showErrorMessage="1" prompt="Enter Annual Pension Benefit in cell at right" sqref="D6:E6" xr:uid="{00000000-0002-0000-0000-000012000000}"/>
    <dataValidation allowBlank="1" showInputMessage="1" showErrorMessage="1" prompt="Enter Annual Pension Benefit in this cell" sqref="F6" xr:uid="{00000000-0002-0000-0000-000013000000}"/>
    <dataValidation allowBlank="1" showInputMessage="1" showErrorMessage="1" prompt="Enter percent Annual Pension Benefit Increases in cell at right" sqref="D7:E7" xr:uid="{00000000-0002-0000-0000-000014000000}"/>
    <dataValidation allowBlank="1" showInputMessage="1" showErrorMessage="1" prompt="Enter percent Annual Pension Benefit Increases in this cell" sqref="F7" xr:uid="{00000000-0002-0000-0000-000015000000}"/>
    <dataValidation allowBlank="1" showInputMessage="1" showErrorMessage="1" prompt="Enter Desired Retirement Age in cell at right" sqref="D8:E8" xr:uid="{00000000-0002-0000-0000-000016000000}"/>
    <dataValidation allowBlank="1" showInputMessage="1" showErrorMessage="1" prompt="Enter Desired Retirement Age in this cell" sqref="F8" xr:uid="{00000000-0002-0000-0000-000017000000}"/>
    <dataValidation allowBlank="1" showInputMessage="1" showErrorMessage="1" prompt="Enter Number of Years of Retirement Income in cell at right" sqref="D9:E9" xr:uid="{00000000-0002-0000-0000-000018000000}"/>
    <dataValidation allowBlank="1" showInputMessage="1" showErrorMessage="1" prompt="Enter Number of Years of Retirement Income in this cell" sqref="F9" xr:uid="{00000000-0002-0000-0000-000019000000}"/>
    <dataValidation allowBlank="1" showInputMessage="1" showErrorMessage="1" prompt="Enter percent Income Replacement in cell at right" sqref="D10:E10" xr:uid="{00000000-0002-0000-0000-00001A000000}"/>
    <dataValidation allowBlank="1" showInputMessage="1" showErrorMessage="1" prompt="Enter percent Income Replacement in this cell" sqref="F10" xr:uid="{00000000-0002-0000-0000-00001B000000}"/>
    <dataValidation allowBlank="1" showInputMessage="1" showErrorMessage="1" prompt="Enter percent Investment Return Uncertainty in cell at right" sqref="G6:H6" xr:uid="{00000000-0002-0000-0000-00001C000000}"/>
    <dataValidation allowBlank="1" showInputMessage="1" showErrorMessage="1" prompt="Enter percent Investment Return Uncertainty in this cell" sqref="I6" xr:uid="{00000000-0002-0000-0000-00001D000000}"/>
    <dataValidation allowBlank="1" showInputMessage="1" showErrorMessage="1" prompt="Enter percent Annual Savings Amount Uncertainty in cell at right" sqref="G7:H7" xr:uid="{00000000-0002-0000-0000-00001E000000}"/>
    <dataValidation allowBlank="1" showInputMessage="1" showErrorMessage="1" prompt="Enter percent Annual Savings Amount Uncertainty in this cell" sqref="I7" xr:uid="{00000000-0002-0000-0000-00001F000000}"/>
    <dataValidation allowBlank="1" showInputMessage="1" showErrorMessage="1" prompt="Enter percent Annual Savings Increases Uncertainty in cell at right" sqref="G8:H8" xr:uid="{00000000-0002-0000-0000-000020000000}"/>
    <dataValidation allowBlank="1" showInputMessage="1" showErrorMessage="1" prompt="Enter percent Annual Savings Increases Uncertainty in this cell" sqref="I8" xr:uid="{00000000-0002-0000-0000-000021000000}"/>
    <dataValidation allowBlank="1" showInputMessage="1" showErrorMessage="1" prompt="Enter percent Annual Pension Benefit Amount Uncertainty in cell at right" sqref="G9:H9" xr:uid="{00000000-0002-0000-0000-000022000000}"/>
    <dataValidation allowBlank="1" showInputMessage="1" showErrorMessage="1" prompt="Enter percent Annual Pension Benefit Amount Uncertainty in this cell" sqref="I9" xr:uid="{00000000-0002-0000-0000-000023000000}"/>
    <dataValidation allowBlank="1" showInputMessage="1" showErrorMessage="1" prompt="Enter percent Annual Pension Benefit Increases Uncertainty in cell at right" sqref="G10:H10" xr:uid="{00000000-0002-0000-0000-000024000000}"/>
    <dataValidation allowBlank="1" showInputMessage="1" showErrorMessage="1" prompt="Enter Enter percent Annual Pension Benefit Increases Uncertainty in this cell" sqref="I10" xr:uid="{00000000-0002-0000-0000-000025000000}"/>
    <dataValidation allowBlank="1" showInputMessage="1" showErrorMessage="1" prompt="Retirement financial data is automatically updated in column B through I, below" sqref="A14" xr:uid="{00000000-0002-0000-0000-000026000000}"/>
    <dataValidation allowBlank="1" showInputMessage="1" showErrorMessage="1" prompt="Age is automatically calculated in this column under this heading" sqref="A15" xr:uid="{00000000-0002-0000-0000-000027000000}"/>
    <dataValidation allowBlank="1" showInputMessage="1" showErrorMessage="1" prompt="Salary is automatically calculated in this column under this heading" sqref="B15" xr:uid="{00000000-0002-0000-0000-000028000000}"/>
    <dataValidation allowBlank="1" showInputMessage="1" showErrorMessage="1" prompt="Balance is automatically calculated in this column under this heading" sqref="C15" xr:uid="{00000000-0002-0000-0000-000029000000}"/>
    <dataValidation allowBlank="1" showInputMessage="1" showErrorMessage="1" prompt="Interest is automatically calculated in this column under this heading" sqref="D15" xr:uid="{00000000-0002-0000-0000-00002A000000}"/>
    <dataValidation allowBlank="1" showInputMessage="1" showErrorMessage="1" prompt="Yearly savings are automatically calculated in this column under this heading" sqref="E15" xr:uid="{00000000-0002-0000-0000-00002B000000}"/>
    <dataValidation allowBlank="1" showInputMessage="1" showErrorMessage="1" prompt="Desired retirement income is automatically calculated in this column under this heading" sqref="F15" xr:uid="{00000000-0002-0000-0000-00002C000000}"/>
    <dataValidation allowBlank="1" showInputMessage="1" showErrorMessage="1" prompt="Pension income is automatically calculated in this column under this heading" sqref="G15" xr:uid="{00000000-0002-0000-0000-00002D000000}"/>
    <dataValidation allowBlank="1" showInputMessage="1" showErrorMessage="1" prompt="Year ending balance is automatically calculated in this column under this heading" sqref="H15" xr:uid="{00000000-0002-0000-0000-00002E000000}"/>
    <dataValidation allowBlank="1" showInputMessage="1" showErrorMessage="1" prompt="Information is automatically updated in this cell" sqref="A2:I2" xr:uid="{00000000-0002-0000-0000-00002F000000}"/>
    <dataValidation allowBlank="1" showInputMessage="1" showErrorMessage="1" prompt="Combo Chart illustrating Savings Disbursements, Cone of Uncertainty, Working Years, and Retirement Savings Balance" sqref="A3:I3" xr:uid="{00000000-0002-0000-0000-000030000000}"/>
    <dataValidation allowBlank="1" showInputMessage="1" showErrorMessage="1" prompt="Enter details for now in cells D7 through D13" sqref="B5" xr:uid="{511B8656-1527-4912-B13F-FD4B49A51200}"/>
    <dataValidation allowBlank="1" showInputMessage="1" showErrorMessage="1" prompt="Enter income, savings, investment, &amp; pension details for now &amp; at retirement in cells D7 through G12. Enter uncertainty percentages in cells J7 through J11." sqref="A4:I4" xr:uid="{46E19F15-B5F2-4DBE-B730-99738A50CAE2}"/>
    <dataValidation allowBlank="1" showInputMessage="1" showErrorMessage="1" prompt="Enter percent Annual Inflation and Income Increases cell at right" sqref="B8" xr:uid="{01DBD186-C829-4723-81F7-454FE8CDC0A7}"/>
  </dataValidations>
  <printOptions horizontalCentered="1"/>
  <pageMargins left="0.3" right="0.3" top="0.3" bottom="0.3" header="0.3" footer="0.3"/>
  <pageSetup fitToHeight="0" orientation="landscape" r:id="rId1"/>
  <headerFooter differentFirs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C115"/>
  <sheetViews>
    <sheetView showGridLines="0" tabSelected="1" zoomScale="160" zoomScaleNormal="160" workbookViewId="0"/>
  </sheetViews>
  <sheetFormatPr baseColWidth="10" defaultColWidth="9" defaultRowHeight="13" x14ac:dyDescent="0.15"/>
  <cols>
    <col min="1" max="2" width="9.33203125" style="6" customWidth="1"/>
    <col min="3" max="3" width="11" style="6" customWidth="1"/>
    <col min="4" max="4" width="9.33203125" style="6" customWidth="1"/>
    <col min="5" max="5" width="14.83203125" style="6" customWidth="1"/>
    <col min="6" max="6" width="19.33203125" style="6" customWidth="1"/>
    <col min="7" max="7" width="12" style="6" customWidth="1"/>
    <col min="8" max="8" width="14.33203125" style="6" customWidth="1"/>
    <col min="9" max="9" width="11" style="6" customWidth="1"/>
    <col min="10" max="13" width="9.33203125" style="6" customWidth="1"/>
    <col min="14" max="14" width="11.6640625" style="6" customWidth="1"/>
    <col min="15" max="15" width="10.5" style="6" customWidth="1"/>
    <col min="16" max="19" width="9.33203125" style="6" customWidth="1"/>
    <col min="20" max="20" width="10.5" style="6" customWidth="1"/>
    <col min="21" max="22" width="9" style="6"/>
    <col min="23" max="24" width="10.5" style="6" customWidth="1"/>
    <col min="25" max="26" width="9" style="6"/>
    <col min="27" max="27" width="10.5" style="6" customWidth="1"/>
    <col min="28" max="16384" width="9" style="6"/>
  </cols>
  <sheetData>
    <row r="1" spans="1:29" s="12" customFormat="1" ht="41.25" customHeight="1" x14ac:dyDescent="0.15">
      <c r="A1" s="14" t="s">
        <v>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9" s="2" customFormat="1" ht="24.75" customHeight="1" x14ac:dyDescent="0.15">
      <c r="A2" s="13" t="s">
        <v>40</v>
      </c>
    </row>
    <row r="3" spans="1:29" x14ac:dyDescent="0.15">
      <c r="E3" s="6">
        <f t="array" ref="E3">INDEX(A16:A115,MATCH(MIN(IF(ISNUMBER(SavingsBalance_RetiredPeriod),IF((SavingsBalance_RetiredPeriod&gt;0),SavingsBalance_RetiredPeriod))),SavingsBalance_RetiredPeriod,0))</f>
        <v>64</v>
      </c>
      <c r="F3" s="6" t="s">
        <v>36</v>
      </c>
      <c r="H3" s="6" t="s">
        <v>8</v>
      </c>
      <c r="J3" s="7"/>
    </row>
    <row r="4" spans="1:29" x14ac:dyDescent="0.15">
      <c r="D4" s="6" t="str">
        <f>TEXT(INDEX(SavingsBalance_RetiredPeriod,PlanYears),"$#,###")</f>
        <v>$1,164,874</v>
      </c>
      <c r="E4" s="6">
        <f>YourCurrentAge+PlanYears-1</f>
        <v>84</v>
      </c>
      <c r="F4" s="6" t="s">
        <v>37</v>
      </c>
      <c r="H4" s="6" t="s">
        <v>7</v>
      </c>
    </row>
    <row r="6" spans="1:29" x14ac:dyDescent="0.15">
      <c r="E6" s="6">
        <f>INDEX($E$3:$E$4,(INDEX(SavingsBalance_RetiredPeriod,PlanYears)&gt;0)+1)</f>
        <v>84</v>
      </c>
      <c r="F6" s="6" t="s">
        <v>38</v>
      </c>
      <c r="H6" s="6" t="str">
        <f>REPT(SUBSTITUTE(SUBSTITUTE(H3,"[AGE]",$E$6),"[BALANCE]",$D$4),INDEX(SavingsBalance_RetiredPeriod,PlanYears)&lt;0)</f>
        <v/>
      </c>
      <c r="J6" s="7"/>
    </row>
    <row r="7" spans="1:29" x14ac:dyDescent="0.15">
      <c r="E7" s="6">
        <f>INDEX($E$3:$E$4,(INDEX(SavingsBalance_RetiredPeriod,PlanYears)&gt;0)+1)</f>
        <v>84</v>
      </c>
      <c r="F7" s="6" t="s">
        <v>39</v>
      </c>
      <c r="H7" s="6" t="str">
        <f>REPT(SUBSTITUTE(SUBSTITUTE(H4,"[AGE]",$E$6),"[BALANCE]",$D$4),INDEX(SavingsBalance_RetiredPeriod,PlanYears)&gt;=0)</f>
        <v>Congratulations! Your plan seems to work. At age 84, you will still have a savings balance of $1,164,874.</v>
      </c>
    </row>
    <row r="8" spans="1:29" x14ac:dyDescent="0.15">
      <c r="C8" s="6" t="s">
        <v>9</v>
      </c>
      <c r="D8" s="6" t="b">
        <f>INDEX(SavingsBalance_RetiredPeriod,PlanYears)&gt;=0</f>
        <v>1</v>
      </c>
      <c r="F8" s="8" t="s">
        <v>10</v>
      </c>
      <c r="H8" s="9" t="s">
        <v>11</v>
      </c>
      <c r="J8" s="7"/>
    </row>
    <row r="9" spans="1:29" x14ac:dyDescent="0.15">
      <c r="E9" s="6">
        <v>1</v>
      </c>
      <c r="F9" s="6" t="str">
        <f>REPT("Congratulations!",Success)</f>
        <v>Congratulations!</v>
      </c>
      <c r="H9" s="6" t="str">
        <f>REPT("OOPS!",Success=FALSE)</f>
        <v/>
      </c>
    </row>
    <row r="10" spans="1:29" x14ac:dyDescent="0.15">
      <c r="E10" s="6">
        <v>2</v>
      </c>
      <c r="F10" s="6" t="str">
        <f>REPT("At age",Success)</f>
        <v>At age</v>
      </c>
      <c r="H10" s="6" t="str">
        <f>REPT("This plan will only provide income to age",Success=FALSE)</f>
        <v/>
      </c>
    </row>
    <row r="11" spans="1:29" x14ac:dyDescent="0.15">
      <c r="E11" s="6">
        <v>3</v>
      </c>
      <c r="F11" s="6" t="str">
        <f>REPT(YourCurrentAge+PlanYears-1 &amp; ",",Success)</f>
        <v>84,</v>
      </c>
      <c r="H11" s="6" t="str">
        <f>REPT(E3 &amp; ".",Success=FALSE)</f>
        <v/>
      </c>
      <c r="J11" s="7"/>
    </row>
    <row r="12" spans="1:29" x14ac:dyDescent="0.15">
      <c r="E12" s="6">
        <v>4</v>
      </c>
      <c r="F12" s="6" t="str">
        <f>REPT("you will have a savings balance of",Success)</f>
        <v>you will have a savings balance of</v>
      </c>
      <c r="H12" s="6" t="str">
        <f>REPT("You'll need to make some adjustments.",Success=FALSE)</f>
        <v/>
      </c>
    </row>
    <row r="13" spans="1:29" x14ac:dyDescent="0.15">
      <c r="E13" s="6">
        <v>5</v>
      </c>
      <c r="F13" s="6" t="str">
        <f>REPT(TEXT(INDEX(SavingsBalance_RetiredPeriod,PlanYears),"$#,###."),Success)</f>
        <v>$1,164,874.</v>
      </c>
    </row>
    <row r="15" spans="1:29" x14ac:dyDescent="0.15">
      <c r="A15" s="6" t="s">
        <v>0</v>
      </c>
      <c r="B15" s="6" t="s">
        <v>1</v>
      </c>
      <c r="C15" s="6" t="s">
        <v>2</v>
      </c>
      <c r="D15" s="6" t="s">
        <v>3</v>
      </c>
      <c r="E15" s="6" t="s">
        <v>29</v>
      </c>
      <c r="F15" s="6" t="s">
        <v>30</v>
      </c>
      <c r="G15" s="6" t="s">
        <v>31</v>
      </c>
      <c r="H15" s="6" t="s">
        <v>35</v>
      </c>
      <c r="I15" s="6" t="s">
        <v>2</v>
      </c>
      <c r="J15" s="6" t="s">
        <v>3</v>
      </c>
      <c r="K15" s="6" t="s">
        <v>29</v>
      </c>
      <c r="L15" s="6" t="s">
        <v>30</v>
      </c>
      <c r="M15" s="6" t="s">
        <v>31</v>
      </c>
      <c r="N15" s="6" t="s">
        <v>35</v>
      </c>
      <c r="O15" s="6" t="s">
        <v>2</v>
      </c>
      <c r="P15" s="6" t="s">
        <v>3</v>
      </c>
      <c r="Q15" s="6" t="s">
        <v>29</v>
      </c>
      <c r="R15" s="6" t="s">
        <v>30</v>
      </c>
      <c r="S15" s="6" t="s">
        <v>31</v>
      </c>
      <c r="T15" s="6" t="s">
        <v>35</v>
      </c>
      <c r="W15" s="6" t="s">
        <v>4</v>
      </c>
      <c r="X15" s="6" t="s">
        <v>5</v>
      </c>
      <c r="AA15" s="6" t="s">
        <v>6</v>
      </c>
    </row>
    <row r="16" spans="1:29" x14ac:dyDescent="0.15">
      <c r="A16" s="6">
        <f>Age</f>
        <v>25</v>
      </c>
      <c r="B16" s="10">
        <f>CurrentAnnualIncome</f>
        <v>50000</v>
      </c>
      <c r="C16" s="10">
        <f>CurrentRetirementSavingsBalance</f>
        <v>0</v>
      </c>
      <c r="D16" s="10">
        <f>IFERROR(Interest,"")</f>
        <v>0</v>
      </c>
      <c r="E16" s="10">
        <f>CurrentAnnualSavingsAmount</f>
        <v>6000</v>
      </c>
      <c r="F16" s="10">
        <f>IFERROR(DesiredRetirementIncome,"")</f>
        <v>0</v>
      </c>
      <c r="G16" s="10">
        <f>IFERROR(PensionIncome,"")</f>
        <v>0</v>
      </c>
      <c r="H16" s="10">
        <f>IFERROR(EndBalance,"")</f>
        <v>6000</v>
      </c>
      <c r="I16" s="10">
        <f>CurrentRetirementSavingsBalance</f>
        <v>0</v>
      </c>
      <c r="J16" s="10">
        <f>IFERROR(Interest_Under,"")</f>
        <v>0</v>
      </c>
      <c r="K16" s="10">
        <f>CurrentAnnualSavingsAmount_Under</f>
        <v>6000</v>
      </c>
      <c r="L16" s="10">
        <f>IFERROR(DesiredRetirementIncome,"")</f>
        <v>0</v>
      </c>
      <c r="M16" s="10">
        <f>IFERROR(PensionIncome_Under,"")</f>
        <v>0</v>
      </c>
      <c r="N16" s="10">
        <f>IFERROR(EndBalance,"")</f>
        <v>6000</v>
      </c>
      <c r="O16" s="10">
        <f>CurrentRetirementSavingsBalance</f>
        <v>0</v>
      </c>
      <c r="P16" s="10">
        <f>IFERROR(Interest_Over,"")</f>
        <v>0</v>
      </c>
      <c r="Q16" s="10">
        <f>CurrentAnnualSavingsAmount_Over</f>
        <v>6000</v>
      </c>
      <c r="R16" s="10">
        <f>IFERROR(DesiredRetirementIncome,"")</f>
        <v>0</v>
      </c>
      <c r="S16" s="10">
        <f>IFERROR(PensionIncome_Over,"")</f>
        <v>0</v>
      </c>
      <c r="T16" s="10">
        <f>IFERROR(EndBalance,"")</f>
        <v>6000</v>
      </c>
      <c r="W16" s="10">
        <f>IF(Calculations!A16&lt;DesiredRetirementAge,H16,NA())</f>
        <v>6000</v>
      </c>
      <c r="X16" s="10" t="e">
        <f>IF(Calculations!A16&gt;=(DesiredRetirementAge-1),H16,NA())</f>
        <v>#N/A</v>
      </c>
      <c r="Y16" s="10"/>
      <c r="AA16" s="10">
        <f t="shared" ref="AA16:AA47" si="0">T16-N16</f>
        <v>0</v>
      </c>
      <c r="AC16" s="10"/>
    </row>
    <row r="17" spans="1:29" x14ac:dyDescent="0.15">
      <c r="A17" s="6">
        <f>IFERROR(Age,"")</f>
        <v>26</v>
      </c>
      <c r="B17" s="10">
        <f>IFERROR(Salary,"")</f>
        <v>50500</v>
      </c>
      <c r="C17" s="10">
        <f>IFERROR(Balance,"")</f>
        <v>6000</v>
      </c>
      <c r="D17" s="10">
        <f>IFERROR(Interest,"")</f>
        <v>300</v>
      </c>
      <c r="E17" s="10">
        <f>IFERROR(YearlySavings,"")</f>
        <v>6000</v>
      </c>
      <c r="F17" s="10">
        <f>IFERROR(DesiredRetirementIncome,"")</f>
        <v>0</v>
      </c>
      <c r="G17" s="10">
        <f>IFERROR(PensionIncome,"")</f>
        <v>0</v>
      </c>
      <c r="H17" s="10">
        <f>IFERROR(EndBalance,"")</f>
        <v>12300</v>
      </c>
      <c r="I17" s="10">
        <f>IFERROR(Balance_Under,"")</f>
        <v>6000</v>
      </c>
      <c r="J17" s="10">
        <f>IFERROR(Interest_Under,"")</f>
        <v>240</v>
      </c>
      <c r="K17" s="10">
        <f>IFERROR(YearlySavings_Under,"")</f>
        <v>6000</v>
      </c>
      <c r="L17" s="10">
        <f>IFERROR(DesiredRetirementIncome,"")</f>
        <v>0</v>
      </c>
      <c r="M17" s="10">
        <f>IFERROR(PensionIncome_Under,"")</f>
        <v>0</v>
      </c>
      <c r="N17" s="10">
        <f>IFERROR(EndBalance,"")</f>
        <v>12240</v>
      </c>
      <c r="O17" s="10">
        <f>IFERROR(Balance_Over,"")</f>
        <v>6000</v>
      </c>
      <c r="P17" s="10">
        <f>IFERROR(Interest_Over,"")</f>
        <v>360</v>
      </c>
      <c r="Q17" s="10">
        <f>IFERROR(YearlySavings_Over,"")</f>
        <v>6000</v>
      </c>
      <c r="R17" s="10">
        <f>IFERROR(DesiredRetirementIncome,"")</f>
        <v>0</v>
      </c>
      <c r="S17" s="10">
        <f>IFERROR(PensionIncome_Over,"")</f>
        <v>0</v>
      </c>
      <c r="T17" s="10">
        <f>IFERROR(EndBalance,"")</f>
        <v>12360</v>
      </c>
      <c r="W17" s="10">
        <f>IF(Calculations!A17&lt;DesiredRetirementAge,H17,NA())</f>
        <v>12300</v>
      </c>
      <c r="X17" s="10" t="e">
        <f>IF(Calculations!A17&gt;=(DesiredRetirementAge-1),H17,NA())</f>
        <v>#N/A</v>
      </c>
      <c r="Y17" s="10"/>
      <c r="AA17" s="10">
        <f t="shared" si="0"/>
        <v>120</v>
      </c>
      <c r="AC17" s="10"/>
    </row>
    <row r="18" spans="1:29" x14ac:dyDescent="0.15">
      <c r="A18" s="6">
        <f>IFERROR(Age,"")</f>
        <v>27</v>
      </c>
      <c r="B18" s="10">
        <f>IFERROR(Salary,"")</f>
        <v>51005</v>
      </c>
      <c r="C18" s="10">
        <f>IFERROR(Balance,"")</f>
        <v>12300</v>
      </c>
      <c r="D18" s="10">
        <f>IFERROR(Interest,"")</f>
        <v>615</v>
      </c>
      <c r="E18" s="10">
        <f>IFERROR(YearlySavings,"")</f>
        <v>6000</v>
      </c>
      <c r="F18" s="10">
        <f>IFERROR(DesiredRetirementIncome,"")</f>
        <v>0</v>
      </c>
      <c r="G18" s="10">
        <f>IFERROR(PensionIncome,"")</f>
        <v>0</v>
      </c>
      <c r="H18" s="10">
        <f>IFERROR(EndBalance,"")</f>
        <v>18915</v>
      </c>
      <c r="I18" s="10">
        <f>IFERROR(Balance_Under,"")</f>
        <v>12240</v>
      </c>
      <c r="J18" s="10">
        <f>IFERROR(Interest_Under,"")</f>
        <v>489.6</v>
      </c>
      <c r="K18" s="10">
        <f>IFERROR(YearlySavings_Under,"")</f>
        <v>6000</v>
      </c>
      <c r="L18" s="10">
        <f>IFERROR(DesiredRetirementIncome,"")</f>
        <v>0</v>
      </c>
      <c r="M18" s="10">
        <f>IFERROR(PensionIncome_Under,"")</f>
        <v>0</v>
      </c>
      <c r="N18" s="10">
        <f>IFERROR(EndBalance,"")</f>
        <v>18729.599999999999</v>
      </c>
      <c r="O18" s="10">
        <f>IFERROR(Balance_Over,"")</f>
        <v>12360</v>
      </c>
      <c r="P18" s="10">
        <f>IFERROR(Interest_Over,"")</f>
        <v>741.6</v>
      </c>
      <c r="Q18" s="10">
        <f>IFERROR(YearlySavings_Over,"")</f>
        <v>6000</v>
      </c>
      <c r="R18" s="10">
        <f>IFERROR(DesiredRetirementIncome,"")</f>
        <v>0</v>
      </c>
      <c r="S18" s="10">
        <f>IFERROR(PensionIncome_Over,"")</f>
        <v>0</v>
      </c>
      <c r="T18" s="10">
        <f>IFERROR(EndBalance,"")</f>
        <v>19101.599999999999</v>
      </c>
      <c r="W18" s="10">
        <f>IF(Calculations!A18&lt;DesiredRetirementAge,H18,NA())</f>
        <v>18915</v>
      </c>
      <c r="X18" s="10" t="e">
        <f>IF(Calculations!A18&gt;=(DesiredRetirementAge-1),H18,NA())</f>
        <v>#N/A</v>
      </c>
      <c r="Y18" s="10"/>
      <c r="AA18" s="10">
        <f t="shared" si="0"/>
        <v>372</v>
      </c>
      <c r="AC18" s="10"/>
    </row>
    <row r="19" spans="1:29" x14ac:dyDescent="0.15">
      <c r="A19" s="6">
        <f>IFERROR(Age,"")</f>
        <v>28</v>
      </c>
      <c r="B19" s="10">
        <f>IFERROR(Salary,"")</f>
        <v>51515.05</v>
      </c>
      <c r="C19" s="10">
        <f>IFERROR(Balance,"")</f>
        <v>18915</v>
      </c>
      <c r="D19" s="10">
        <f>IFERROR(Interest,"")</f>
        <v>945.75</v>
      </c>
      <c r="E19" s="10">
        <f>IFERROR(YearlySavings,"")</f>
        <v>6000</v>
      </c>
      <c r="F19" s="10">
        <f>IFERROR(DesiredRetirementIncome,"")</f>
        <v>0</v>
      </c>
      <c r="G19" s="10">
        <f>IFERROR(PensionIncome,"")</f>
        <v>0</v>
      </c>
      <c r="H19" s="10">
        <f>IFERROR(EndBalance,"")</f>
        <v>25860.75</v>
      </c>
      <c r="I19" s="10">
        <f>IFERROR(Balance_Under,"")</f>
        <v>18729.599999999999</v>
      </c>
      <c r="J19" s="10">
        <f>IFERROR(Interest_Under,"")</f>
        <v>749.18399999999997</v>
      </c>
      <c r="K19" s="10">
        <f>IFERROR(YearlySavings_Under,"")</f>
        <v>6000</v>
      </c>
      <c r="L19" s="10">
        <f>IFERROR(DesiredRetirementIncome,"")</f>
        <v>0</v>
      </c>
      <c r="M19" s="10">
        <f>IFERROR(PensionIncome_Under,"")</f>
        <v>0</v>
      </c>
      <c r="N19" s="10">
        <f>IFERROR(EndBalance,"")</f>
        <v>25478.784</v>
      </c>
      <c r="O19" s="10">
        <f>IFERROR(Balance_Over,"")</f>
        <v>19101.599999999999</v>
      </c>
      <c r="P19" s="10">
        <f>IFERROR(Interest_Over,"")</f>
        <v>1146.096</v>
      </c>
      <c r="Q19" s="10">
        <f>IFERROR(YearlySavings_Over,"")</f>
        <v>6000</v>
      </c>
      <c r="R19" s="10">
        <f>IFERROR(DesiredRetirementIncome,"")</f>
        <v>0</v>
      </c>
      <c r="S19" s="10">
        <f>IFERROR(PensionIncome_Over,"")</f>
        <v>0</v>
      </c>
      <c r="T19" s="10">
        <f>IFERROR(EndBalance,"")</f>
        <v>26247.696</v>
      </c>
      <c r="W19" s="10">
        <f>IF(Calculations!A19&lt;DesiredRetirementAge,H19,NA())</f>
        <v>25860.75</v>
      </c>
      <c r="X19" s="10" t="e">
        <f>IF(Calculations!A19&gt;=(DesiredRetirementAge-1),H19,NA())</f>
        <v>#N/A</v>
      </c>
      <c r="Y19" s="10"/>
      <c r="AA19" s="10">
        <f t="shared" si="0"/>
        <v>768.91200000000026</v>
      </c>
      <c r="AC19" s="10"/>
    </row>
    <row r="20" spans="1:29" x14ac:dyDescent="0.15">
      <c r="A20" s="6">
        <f>IFERROR(Age,"")</f>
        <v>29</v>
      </c>
      <c r="B20" s="10">
        <f>IFERROR(Salary,"")</f>
        <v>52030.200500000006</v>
      </c>
      <c r="C20" s="10">
        <f>IFERROR(Balance,"")</f>
        <v>25860.75</v>
      </c>
      <c r="D20" s="10">
        <f>IFERROR(Interest,"")</f>
        <v>1293.0375000000001</v>
      </c>
      <c r="E20" s="10">
        <f>IFERROR(YearlySavings,"")</f>
        <v>6000</v>
      </c>
      <c r="F20" s="10">
        <f>IFERROR(DesiredRetirementIncome,"")</f>
        <v>0</v>
      </c>
      <c r="G20" s="10">
        <f>IFERROR(PensionIncome,"")</f>
        <v>0</v>
      </c>
      <c r="H20" s="10">
        <f>IFERROR(EndBalance,"")</f>
        <v>33153.787499999999</v>
      </c>
      <c r="I20" s="10">
        <f>IFERROR(Balance_Under,"")</f>
        <v>25478.784</v>
      </c>
      <c r="J20" s="10">
        <f>IFERROR(Interest_Under,"")</f>
        <v>1019.15136</v>
      </c>
      <c r="K20" s="10">
        <f>IFERROR(YearlySavings_Under,"")</f>
        <v>6000</v>
      </c>
      <c r="L20" s="10">
        <f>IFERROR(DesiredRetirementIncome,"")</f>
        <v>0</v>
      </c>
      <c r="M20" s="10">
        <f>IFERROR(PensionIncome_Under,"")</f>
        <v>0</v>
      </c>
      <c r="N20" s="10">
        <f>IFERROR(EndBalance,"")</f>
        <v>32497.935359999999</v>
      </c>
      <c r="O20" s="10">
        <f>IFERROR(Balance_Over,"")</f>
        <v>26247.696</v>
      </c>
      <c r="P20" s="10">
        <f>IFERROR(Interest_Over,"")</f>
        <v>1574.8617600000002</v>
      </c>
      <c r="Q20" s="10">
        <f>IFERROR(YearlySavings_Over,"")</f>
        <v>6000</v>
      </c>
      <c r="R20" s="10">
        <f>IFERROR(DesiredRetirementIncome,"")</f>
        <v>0</v>
      </c>
      <c r="S20" s="10">
        <f>IFERROR(PensionIncome_Over,"")</f>
        <v>0</v>
      </c>
      <c r="T20" s="10">
        <f>IFERROR(EndBalance,"")</f>
        <v>33822.557759999996</v>
      </c>
      <c r="W20" s="10">
        <f>IF(Calculations!A20&lt;DesiredRetirementAge,H20,NA())</f>
        <v>33153.787499999999</v>
      </c>
      <c r="X20" s="10" t="e">
        <f>IF(Calculations!A20&gt;=(DesiredRetirementAge-1),H20,NA())</f>
        <v>#N/A</v>
      </c>
      <c r="Y20" s="10"/>
      <c r="AA20" s="10">
        <f t="shared" si="0"/>
        <v>1324.6223999999966</v>
      </c>
      <c r="AC20" s="10"/>
    </row>
    <row r="21" spans="1:29" x14ac:dyDescent="0.15">
      <c r="A21" s="6">
        <f>IFERROR(Age,"")</f>
        <v>30</v>
      </c>
      <c r="B21" s="10">
        <f>IFERROR(Salary,"")</f>
        <v>52550.502505000004</v>
      </c>
      <c r="C21" s="10">
        <f>IFERROR(Balance,"")</f>
        <v>33153.787499999999</v>
      </c>
      <c r="D21" s="10">
        <f>IFERROR(Interest,"")</f>
        <v>1657.6893749999999</v>
      </c>
      <c r="E21" s="10">
        <f>IFERROR(YearlySavings,"")</f>
        <v>6000</v>
      </c>
      <c r="F21" s="10">
        <f>IFERROR(DesiredRetirementIncome,"")</f>
        <v>0</v>
      </c>
      <c r="G21" s="10">
        <f>IFERROR(PensionIncome,"")</f>
        <v>0</v>
      </c>
      <c r="H21" s="10">
        <f>IFERROR(EndBalance,"")</f>
        <v>40811.476875</v>
      </c>
      <c r="I21" s="10">
        <f>IFERROR(Balance_Under,"")</f>
        <v>32497.935359999999</v>
      </c>
      <c r="J21" s="10">
        <f>IFERROR(Interest_Under,"")</f>
        <v>1299.9174144000001</v>
      </c>
      <c r="K21" s="10">
        <f>IFERROR(YearlySavings_Under,"")</f>
        <v>6000</v>
      </c>
      <c r="L21" s="10">
        <f>IFERROR(DesiredRetirementIncome,"")</f>
        <v>0</v>
      </c>
      <c r="M21" s="10">
        <f>IFERROR(PensionIncome_Under,"")</f>
        <v>0</v>
      </c>
      <c r="N21" s="10">
        <f>IFERROR(EndBalance,"")</f>
        <v>39797.852774400002</v>
      </c>
      <c r="O21" s="10">
        <f>IFERROR(Balance_Over,"")</f>
        <v>33822.557759999996</v>
      </c>
      <c r="P21" s="10">
        <f>IFERROR(Interest_Over,"")</f>
        <v>2029.3534655999999</v>
      </c>
      <c r="Q21" s="10">
        <f>IFERROR(YearlySavings_Over,"")</f>
        <v>6000</v>
      </c>
      <c r="R21" s="10">
        <f>IFERROR(DesiredRetirementIncome,"")</f>
        <v>0</v>
      </c>
      <c r="S21" s="10">
        <f>IFERROR(PensionIncome_Over,"")</f>
        <v>0</v>
      </c>
      <c r="T21" s="10">
        <f>IFERROR(EndBalance,"")</f>
        <v>41851.911225599993</v>
      </c>
      <c r="W21" s="10">
        <f>IF(Calculations!A21&lt;DesiredRetirementAge,H21,NA())</f>
        <v>40811.476875</v>
      </c>
      <c r="X21" s="10" t="e">
        <f>IF(Calculations!A21&gt;=(DesiredRetirementAge-1),H21,NA())</f>
        <v>#N/A</v>
      </c>
      <c r="Y21" s="10"/>
      <c r="AA21" s="10">
        <f t="shared" si="0"/>
        <v>2054.0584511999914</v>
      </c>
      <c r="AC21" s="10"/>
    </row>
    <row r="22" spans="1:29" x14ac:dyDescent="0.15">
      <c r="A22" s="6">
        <f>IFERROR(Age,"")</f>
        <v>31</v>
      </c>
      <c r="B22" s="10">
        <f>IFERROR(Salary,"")</f>
        <v>53076.007530050003</v>
      </c>
      <c r="C22" s="10">
        <f>IFERROR(Balance,"")</f>
        <v>40811.476875</v>
      </c>
      <c r="D22" s="10">
        <f>IFERROR(Interest,"")</f>
        <v>2040.5738437500002</v>
      </c>
      <c r="E22" s="10">
        <f>IFERROR(YearlySavings,"")</f>
        <v>6000</v>
      </c>
      <c r="F22" s="10">
        <f>IFERROR(DesiredRetirementIncome,"")</f>
        <v>0</v>
      </c>
      <c r="G22" s="10">
        <f>IFERROR(PensionIncome,"")</f>
        <v>0</v>
      </c>
      <c r="H22" s="10">
        <f>IFERROR(EndBalance,"")</f>
        <v>48852.050718749997</v>
      </c>
      <c r="I22" s="10">
        <f>IFERROR(Balance_Under,"")</f>
        <v>39797.852774400002</v>
      </c>
      <c r="J22" s="10">
        <f>IFERROR(Interest_Under,"")</f>
        <v>1591.9141109760001</v>
      </c>
      <c r="K22" s="10">
        <f>IFERROR(YearlySavings_Under,"")</f>
        <v>6000</v>
      </c>
      <c r="L22" s="10">
        <f>IFERROR(DesiredRetirementIncome,"")</f>
        <v>0</v>
      </c>
      <c r="M22" s="10">
        <f>IFERROR(PensionIncome_Under,"")</f>
        <v>0</v>
      </c>
      <c r="N22" s="10">
        <f>IFERROR(EndBalance,"")</f>
        <v>47389.766885376004</v>
      </c>
      <c r="O22" s="10">
        <f>IFERROR(Balance_Over,"")</f>
        <v>41851.911225599993</v>
      </c>
      <c r="P22" s="10">
        <f>IFERROR(Interest_Over,"")</f>
        <v>2511.1146735359998</v>
      </c>
      <c r="Q22" s="10">
        <f>IFERROR(YearlySavings_Over,"")</f>
        <v>6000</v>
      </c>
      <c r="R22" s="10">
        <f>IFERROR(DesiredRetirementIncome,"")</f>
        <v>0</v>
      </c>
      <c r="S22" s="10">
        <f>IFERROR(PensionIncome_Over,"")</f>
        <v>0</v>
      </c>
      <c r="T22" s="10">
        <f>IFERROR(EndBalance,"")</f>
        <v>50363.025899135995</v>
      </c>
      <c r="W22" s="10">
        <f>IF(Calculations!A22&lt;DesiredRetirementAge,H22,NA())</f>
        <v>48852.050718749997</v>
      </c>
      <c r="X22" s="10" t="e">
        <f>IF(Calculations!A22&gt;=(DesiredRetirementAge-1),H22,NA())</f>
        <v>#N/A</v>
      </c>
      <c r="Y22" s="10"/>
      <c r="AA22" s="10">
        <f t="shared" si="0"/>
        <v>2973.2590137599909</v>
      </c>
      <c r="AC22" s="10"/>
    </row>
    <row r="23" spans="1:29" x14ac:dyDescent="0.15">
      <c r="A23" s="6">
        <f>IFERROR(Age,"")</f>
        <v>32</v>
      </c>
      <c r="B23" s="10">
        <f>IFERROR(Salary,"")</f>
        <v>53606.767605350506</v>
      </c>
      <c r="C23" s="10">
        <f>IFERROR(Balance,"")</f>
        <v>48852.050718749997</v>
      </c>
      <c r="D23" s="10">
        <f>IFERROR(Interest,"")</f>
        <v>2442.6025359374999</v>
      </c>
      <c r="E23" s="10">
        <f>IFERROR(YearlySavings,"")</f>
        <v>6000</v>
      </c>
      <c r="F23" s="10">
        <f>IFERROR(DesiredRetirementIncome,"")</f>
        <v>0</v>
      </c>
      <c r="G23" s="10">
        <f>IFERROR(PensionIncome,"")</f>
        <v>0</v>
      </c>
      <c r="H23" s="10">
        <f>IFERROR(EndBalance,"")</f>
        <v>57294.653254687495</v>
      </c>
      <c r="I23" s="10">
        <f>IFERROR(Balance_Under,"")</f>
        <v>47389.766885376004</v>
      </c>
      <c r="J23" s="10">
        <f>IFERROR(Interest_Under,"")</f>
        <v>1895.5906754150401</v>
      </c>
      <c r="K23" s="10">
        <f>IFERROR(YearlySavings_Under,"")</f>
        <v>6000</v>
      </c>
      <c r="L23" s="10">
        <f>IFERROR(DesiredRetirementIncome,"")</f>
        <v>0</v>
      </c>
      <c r="M23" s="10">
        <f>IFERROR(PensionIncome_Under,"")</f>
        <v>0</v>
      </c>
      <c r="N23" s="10">
        <f>IFERROR(EndBalance,"")</f>
        <v>55285.357560791046</v>
      </c>
      <c r="O23" s="10">
        <f>IFERROR(Balance_Over,"")</f>
        <v>50363.025899135995</v>
      </c>
      <c r="P23" s="10">
        <f>IFERROR(Interest_Over,"")</f>
        <v>3021.7815539481599</v>
      </c>
      <c r="Q23" s="10">
        <f>IFERROR(YearlySavings_Over,"")</f>
        <v>6000</v>
      </c>
      <c r="R23" s="10">
        <f>IFERROR(DesiredRetirementIncome,"")</f>
        <v>0</v>
      </c>
      <c r="S23" s="10">
        <f>IFERROR(PensionIncome_Over,"")</f>
        <v>0</v>
      </c>
      <c r="T23" s="10">
        <f>IFERROR(EndBalance,"")</f>
        <v>59384.807453084155</v>
      </c>
      <c r="W23" s="10">
        <f>IF(Calculations!A23&lt;DesiredRetirementAge,H23,NA())</f>
        <v>57294.653254687495</v>
      </c>
      <c r="X23" s="10" t="e">
        <f>IF(Calculations!A23&gt;=(DesiredRetirementAge-1),H23,NA())</f>
        <v>#N/A</v>
      </c>
      <c r="Y23" s="10"/>
      <c r="AA23" s="10">
        <f t="shared" si="0"/>
        <v>4099.4498922931089</v>
      </c>
      <c r="AC23" s="10"/>
    </row>
    <row r="24" spans="1:29" x14ac:dyDescent="0.15">
      <c r="A24" s="6">
        <f>IFERROR(Age,"")</f>
        <v>33</v>
      </c>
      <c r="B24" s="10">
        <f>IFERROR(Salary,"")</f>
        <v>54142.835281404012</v>
      </c>
      <c r="C24" s="10">
        <f>IFERROR(Balance,"")</f>
        <v>57294.653254687495</v>
      </c>
      <c r="D24" s="10">
        <f>IFERROR(Interest,"")</f>
        <v>2864.732662734375</v>
      </c>
      <c r="E24" s="10">
        <f>IFERROR(YearlySavings,"")</f>
        <v>6000</v>
      </c>
      <c r="F24" s="10">
        <f>IFERROR(DesiredRetirementIncome,"")</f>
        <v>0</v>
      </c>
      <c r="G24" s="10">
        <f>IFERROR(PensionIncome,"")</f>
        <v>0</v>
      </c>
      <c r="H24" s="10">
        <f>IFERROR(EndBalance,"")</f>
        <v>66159.385917421867</v>
      </c>
      <c r="I24" s="10">
        <f>IFERROR(Balance_Under,"")</f>
        <v>55285.357560791046</v>
      </c>
      <c r="J24" s="10">
        <f>IFERROR(Interest_Under,"")</f>
        <v>2211.4143024316418</v>
      </c>
      <c r="K24" s="10">
        <f>IFERROR(YearlySavings_Under,"")</f>
        <v>6000</v>
      </c>
      <c r="L24" s="10">
        <f>IFERROR(DesiredRetirementIncome,"")</f>
        <v>0</v>
      </c>
      <c r="M24" s="10">
        <f>IFERROR(PensionIncome_Under,"")</f>
        <v>0</v>
      </c>
      <c r="N24" s="10">
        <f>IFERROR(EndBalance,"")</f>
        <v>63496.77186322269</v>
      </c>
      <c r="O24" s="10">
        <f>IFERROR(Balance_Over,"")</f>
        <v>59384.807453084155</v>
      </c>
      <c r="P24" s="10">
        <f>IFERROR(Interest_Over,"")</f>
        <v>3563.0884471850495</v>
      </c>
      <c r="Q24" s="10">
        <f>IFERROR(YearlySavings_Over,"")</f>
        <v>6000</v>
      </c>
      <c r="R24" s="10">
        <f>IFERROR(DesiredRetirementIncome,"")</f>
        <v>0</v>
      </c>
      <c r="S24" s="10">
        <f>IFERROR(PensionIncome_Over,"")</f>
        <v>0</v>
      </c>
      <c r="T24" s="10">
        <f>IFERROR(EndBalance,"")</f>
        <v>68947.895900269214</v>
      </c>
      <c r="W24" s="10">
        <f>IF(Calculations!A24&lt;DesiredRetirementAge,H24,NA())</f>
        <v>66159.385917421867</v>
      </c>
      <c r="X24" s="10" t="e">
        <f>IF(Calculations!A24&gt;=(DesiredRetirementAge-1),H24,NA())</f>
        <v>#N/A</v>
      </c>
      <c r="Y24" s="10"/>
      <c r="AA24" s="10">
        <f t="shared" si="0"/>
        <v>5451.1240370465239</v>
      </c>
      <c r="AC24" s="10"/>
    </row>
    <row r="25" spans="1:29" x14ac:dyDescent="0.15">
      <c r="A25" s="6">
        <f>IFERROR(Age,"")</f>
        <v>34</v>
      </c>
      <c r="B25" s="10">
        <f>IFERROR(Salary,"")</f>
        <v>54684.263634218049</v>
      </c>
      <c r="C25" s="10">
        <f>IFERROR(Balance,"")</f>
        <v>66159.385917421867</v>
      </c>
      <c r="D25" s="10">
        <f>IFERROR(Interest,"")</f>
        <v>3307.9692958710934</v>
      </c>
      <c r="E25" s="10">
        <f>IFERROR(YearlySavings,"")</f>
        <v>6000</v>
      </c>
      <c r="F25" s="10">
        <f>IFERROR(DesiredRetirementIncome,"")</f>
        <v>0</v>
      </c>
      <c r="G25" s="10">
        <f>IFERROR(PensionIncome,"")</f>
        <v>0</v>
      </c>
      <c r="H25" s="10">
        <f>IFERROR(EndBalance,"")</f>
        <v>75467.355213292962</v>
      </c>
      <c r="I25" s="10">
        <f>IFERROR(Balance_Under,"")</f>
        <v>63496.77186322269</v>
      </c>
      <c r="J25" s="10">
        <f>IFERROR(Interest_Under,"")</f>
        <v>2539.8708745289077</v>
      </c>
      <c r="K25" s="10">
        <f>IFERROR(YearlySavings_Under,"")</f>
        <v>6000</v>
      </c>
      <c r="L25" s="10">
        <f>IFERROR(DesiredRetirementIncome,"")</f>
        <v>0</v>
      </c>
      <c r="M25" s="10">
        <f>IFERROR(PensionIncome_Under,"")</f>
        <v>0</v>
      </c>
      <c r="N25" s="10">
        <f>IFERROR(EndBalance,"")</f>
        <v>72036.642737751594</v>
      </c>
      <c r="O25" s="10">
        <f>IFERROR(Balance_Over,"")</f>
        <v>68947.895900269214</v>
      </c>
      <c r="P25" s="10">
        <f>IFERROR(Interest_Over,"")</f>
        <v>4136.8737540161528</v>
      </c>
      <c r="Q25" s="10">
        <f>IFERROR(YearlySavings_Over,"")</f>
        <v>6000</v>
      </c>
      <c r="R25" s="10">
        <f>IFERROR(DesiredRetirementIncome,"")</f>
        <v>0</v>
      </c>
      <c r="S25" s="10">
        <f>IFERROR(PensionIncome_Over,"")</f>
        <v>0</v>
      </c>
      <c r="T25" s="10">
        <f>IFERROR(EndBalance,"")</f>
        <v>79084.769654285366</v>
      </c>
      <c r="W25" s="10">
        <f>IF(Calculations!A25&lt;DesiredRetirementAge,H25,NA())</f>
        <v>75467.355213292962</v>
      </c>
      <c r="X25" s="10" t="e">
        <f>IF(Calculations!A25&gt;=(DesiredRetirementAge-1),H25,NA())</f>
        <v>#N/A</v>
      </c>
      <c r="Y25" s="10"/>
      <c r="AA25" s="10">
        <f t="shared" si="0"/>
        <v>7048.1269165337726</v>
      </c>
      <c r="AC25" s="10"/>
    </row>
    <row r="26" spans="1:29" x14ac:dyDescent="0.15">
      <c r="A26" s="6">
        <f>IFERROR(Age,"")</f>
        <v>35</v>
      </c>
      <c r="B26" s="10">
        <f>IFERROR(Salary,"")</f>
        <v>55231.106270560231</v>
      </c>
      <c r="C26" s="10">
        <f>IFERROR(Balance,"")</f>
        <v>75467.355213292962</v>
      </c>
      <c r="D26" s="10">
        <f>IFERROR(Interest,"")</f>
        <v>3773.3677606646484</v>
      </c>
      <c r="E26" s="10">
        <f>IFERROR(YearlySavings,"")</f>
        <v>6000</v>
      </c>
      <c r="F26" s="10">
        <f>IFERROR(DesiredRetirementIncome,"")</f>
        <v>0</v>
      </c>
      <c r="G26" s="10">
        <f>IFERROR(PensionIncome,"")</f>
        <v>0</v>
      </c>
      <c r="H26" s="10">
        <f>IFERROR(EndBalance,"")</f>
        <v>85240.722973957614</v>
      </c>
      <c r="I26" s="10">
        <f>IFERROR(Balance_Under,"")</f>
        <v>72036.642737751594</v>
      </c>
      <c r="J26" s="10">
        <f>IFERROR(Interest_Under,"")</f>
        <v>2881.4657095100638</v>
      </c>
      <c r="K26" s="10">
        <f>IFERROR(YearlySavings_Under,"")</f>
        <v>6000</v>
      </c>
      <c r="L26" s="10">
        <f>IFERROR(DesiredRetirementIncome,"")</f>
        <v>0</v>
      </c>
      <c r="M26" s="10">
        <f>IFERROR(PensionIncome_Under,"")</f>
        <v>0</v>
      </c>
      <c r="N26" s="10">
        <f>IFERROR(EndBalance,"")</f>
        <v>80918.108447261664</v>
      </c>
      <c r="O26" s="10">
        <f>IFERROR(Balance_Over,"")</f>
        <v>79084.769654285366</v>
      </c>
      <c r="P26" s="10">
        <f>IFERROR(Interest_Over,"")</f>
        <v>4745.0861792571222</v>
      </c>
      <c r="Q26" s="10">
        <f>IFERROR(YearlySavings_Over,"")</f>
        <v>6000</v>
      </c>
      <c r="R26" s="10">
        <f>IFERROR(DesiredRetirementIncome,"")</f>
        <v>0</v>
      </c>
      <c r="S26" s="10">
        <f>IFERROR(PensionIncome_Over,"")</f>
        <v>0</v>
      </c>
      <c r="T26" s="10">
        <f>IFERROR(EndBalance,"")</f>
        <v>89829.85583354249</v>
      </c>
      <c r="W26" s="10">
        <f>IF(Calculations!A26&lt;DesiredRetirementAge,H26,NA())</f>
        <v>85240.722973957614</v>
      </c>
      <c r="X26" s="10" t="e">
        <f>IF(Calculations!A26&gt;=(DesiredRetirementAge-1),H26,NA())</f>
        <v>#N/A</v>
      </c>
      <c r="Y26" s="10"/>
      <c r="AA26" s="10">
        <f t="shared" si="0"/>
        <v>8911.7473862808256</v>
      </c>
      <c r="AC26" s="10"/>
    </row>
    <row r="27" spans="1:29" x14ac:dyDescent="0.15">
      <c r="A27" s="6">
        <f>IFERROR(Age,"")</f>
        <v>36</v>
      </c>
      <c r="B27" s="10">
        <f>IFERROR(Salary,"")</f>
        <v>55783.417333265832</v>
      </c>
      <c r="C27" s="10">
        <f>IFERROR(Balance,"")</f>
        <v>85240.722973957614</v>
      </c>
      <c r="D27" s="10">
        <f>IFERROR(Interest,"")</f>
        <v>4262.0361486978809</v>
      </c>
      <c r="E27" s="10">
        <f>IFERROR(YearlySavings,"")</f>
        <v>6000</v>
      </c>
      <c r="F27" s="10">
        <f>IFERROR(DesiredRetirementIncome,"")</f>
        <v>0</v>
      </c>
      <c r="G27" s="10">
        <f>IFERROR(PensionIncome,"")</f>
        <v>0</v>
      </c>
      <c r="H27" s="10">
        <f>IFERROR(EndBalance,"")</f>
        <v>95502.759122655494</v>
      </c>
      <c r="I27" s="10">
        <f>IFERROR(Balance_Under,"")</f>
        <v>80918.108447261664</v>
      </c>
      <c r="J27" s="10">
        <f>IFERROR(Interest_Under,"")</f>
        <v>3236.7243378904668</v>
      </c>
      <c r="K27" s="10">
        <f>IFERROR(YearlySavings_Under,"")</f>
        <v>6000</v>
      </c>
      <c r="L27" s="10">
        <f>IFERROR(DesiredRetirementIncome,"")</f>
        <v>0</v>
      </c>
      <c r="M27" s="10">
        <f>IFERROR(PensionIncome_Under,"")</f>
        <v>0</v>
      </c>
      <c r="N27" s="10">
        <f>IFERROR(EndBalance,"")</f>
        <v>90154.832785152132</v>
      </c>
      <c r="O27" s="10">
        <f>IFERROR(Balance_Over,"")</f>
        <v>89829.85583354249</v>
      </c>
      <c r="P27" s="10">
        <f>IFERROR(Interest_Over,"")</f>
        <v>5389.7913500125496</v>
      </c>
      <c r="Q27" s="10">
        <f>IFERROR(YearlySavings_Over,"")</f>
        <v>6000</v>
      </c>
      <c r="R27" s="10">
        <f>IFERROR(DesiredRetirementIncome,"")</f>
        <v>0</v>
      </c>
      <c r="S27" s="10">
        <f>IFERROR(PensionIncome_Over,"")</f>
        <v>0</v>
      </c>
      <c r="T27" s="10">
        <f>IFERROR(EndBalance,"")</f>
        <v>101219.64718355503</v>
      </c>
      <c r="W27" s="10">
        <f>IF(Calculations!A27&lt;DesiredRetirementAge,H27,NA())</f>
        <v>95502.759122655494</v>
      </c>
      <c r="X27" s="10" t="e">
        <f>IF(Calculations!A27&gt;=(DesiredRetirementAge-1),H27,NA())</f>
        <v>#N/A</v>
      </c>
      <c r="Y27" s="10"/>
      <c r="AA27" s="10">
        <f t="shared" si="0"/>
        <v>11064.814398402901</v>
      </c>
      <c r="AC27" s="10"/>
    </row>
    <row r="28" spans="1:29" x14ac:dyDescent="0.15">
      <c r="A28" s="6">
        <f>IFERROR(Age,"")</f>
        <v>37</v>
      </c>
      <c r="B28" s="10">
        <f>IFERROR(Salary,"")</f>
        <v>56341.251506598492</v>
      </c>
      <c r="C28" s="10">
        <f>IFERROR(Balance,"")</f>
        <v>95502.759122655494</v>
      </c>
      <c r="D28" s="10">
        <f>IFERROR(Interest,"")</f>
        <v>4775.1379561327749</v>
      </c>
      <c r="E28" s="10">
        <f>IFERROR(YearlySavings,"")</f>
        <v>6000</v>
      </c>
      <c r="F28" s="10">
        <f>IFERROR(DesiredRetirementIncome,"")</f>
        <v>0</v>
      </c>
      <c r="G28" s="10">
        <f>IFERROR(PensionIncome,"")</f>
        <v>0</v>
      </c>
      <c r="H28" s="10">
        <f>IFERROR(EndBalance,"")</f>
        <v>106277.89707878827</v>
      </c>
      <c r="I28" s="10">
        <f>IFERROR(Balance_Under,"")</f>
        <v>90154.832785152132</v>
      </c>
      <c r="J28" s="10">
        <f>IFERROR(Interest_Under,"")</f>
        <v>3606.1933114060853</v>
      </c>
      <c r="K28" s="10">
        <f>IFERROR(YearlySavings_Under,"")</f>
        <v>6000</v>
      </c>
      <c r="L28" s="10">
        <f>IFERROR(DesiredRetirementIncome,"")</f>
        <v>0</v>
      </c>
      <c r="M28" s="10">
        <f>IFERROR(PensionIncome_Under,"")</f>
        <v>0</v>
      </c>
      <c r="N28" s="10">
        <f>IFERROR(EndBalance,"")</f>
        <v>99761.026096558213</v>
      </c>
      <c r="O28" s="10">
        <f>IFERROR(Balance_Over,"")</f>
        <v>101219.64718355503</v>
      </c>
      <c r="P28" s="10">
        <f>IFERROR(Interest_Over,"")</f>
        <v>6073.1788310133024</v>
      </c>
      <c r="Q28" s="10">
        <f>IFERROR(YearlySavings_Over,"")</f>
        <v>6000</v>
      </c>
      <c r="R28" s="10">
        <f>IFERROR(DesiredRetirementIncome,"")</f>
        <v>0</v>
      </c>
      <c r="S28" s="10">
        <f>IFERROR(PensionIncome_Over,"")</f>
        <v>0</v>
      </c>
      <c r="T28" s="10">
        <f>IFERROR(EndBalance,"")</f>
        <v>113292.82601456833</v>
      </c>
      <c r="W28" s="10">
        <f>IF(Calculations!A28&lt;DesiredRetirementAge,H28,NA())</f>
        <v>106277.89707878827</v>
      </c>
      <c r="X28" s="10" t="e">
        <f>IF(Calculations!A28&gt;=(DesiredRetirementAge-1),H28,NA())</f>
        <v>#N/A</v>
      </c>
      <c r="Y28" s="10"/>
      <c r="AA28" s="10">
        <f t="shared" si="0"/>
        <v>13531.799918010118</v>
      </c>
      <c r="AC28" s="10"/>
    </row>
    <row r="29" spans="1:29" x14ac:dyDescent="0.15">
      <c r="A29" s="6">
        <f>IFERROR(Age,"")</f>
        <v>38</v>
      </c>
      <c r="B29" s="10">
        <f>IFERROR(Salary,"")</f>
        <v>56904.664021664474</v>
      </c>
      <c r="C29" s="10">
        <f>IFERROR(Balance,"")</f>
        <v>106277.89707878827</v>
      </c>
      <c r="D29" s="10">
        <f>IFERROR(Interest,"")</f>
        <v>5313.8948539394141</v>
      </c>
      <c r="E29" s="10">
        <f>IFERROR(YearlySavings,"")</f>
        <v>6000</v>
      </c>
      <c r="F29" s="10">
        <f>IFERROR(DesiredRetirementIncome,"")</f>
        <v>0</v>
      </c>
      <c r="G29" s="10">
        <f>IFERROR(PensionIncome,"")</f>
        <v>0</v>
      </c>
      <c r="H29" s="10">
        <f>IFERROR(EndBalance,"")</f>
        <v>117591.79193272769</v>
      </c>
      <c r="I29" s="10">
        <f>IFERROR(Balance_Under,"")</f>
        <v>99761.026096558213</v>
      </c>
      <c r="J29" s="10">
        <f>IFERROR(Interest_Under,"")</f>
        <v>3990.4410438623286</v>
      </c>
      <c r="K29" s="10">
        <f>IFERROR(YearlySavings_Under,"")</f>
        <v>6000</v>
      </c>
      <c r="L29" s="10">
        <f>IFERROR(DesiredRetirementIncome,"")</f>
        <v>0</v>
      </c>
      <c r="M29" s="10">
        <f>IFERROR(PensionIncome_Under,"")</f>
        <v>0</v>
      </c>
      <c r="N29" s="10">
        <f>IFERROR(EndBalance,"")</f>
        <v>109751.46714042054</v>
      </c>
      <c r="O29" s="10">
        <f>IFERROR(Balance_Over,"")</f>
        <v>113292.82601456833</v>
      </c>
      <c r="P29" s="10">
        <f>IFERROR(Interest_Over,"")</f>
        <v>6797.5695608741007</v>
      </c>
      <c r="Q29" s="10">
        <f>IFERROR(YearlySavings_Over,"")</f>
        <v>6000</v>
      </c>
      <c r="R29" s="10">
        <f>IFERROR(DesiredRetirementIncome,"")</f>
        <v>0</v>
      </c>
      <c r="S29" s="10">
        <f>IFERROR(PensionIncome_Over,"")</f>
        <v>0</v>
      </c>
      <c r="T29" s="10">
        <f>IFERROR(EndBalance,"")</f>
        <v>126090.39557544244</v>
      </c>
      <c r="W29" s="10">
        <f>IF(Calculations!A29&lt;DesiredRetirementAge,H29,NA())</f>
        <v>117591.79193272769</v>
      </c>
      <c r="X29" s="10" t="e">
        <f>IF(Calculations!A29&gt;=(DesiredRetirementAge-1),H29,NA())</f>
        <v>#N/A</v>
      </c>
      <c r="Y29" s="10"/>
      <c r="AA29" s="10">
        <f t="shared" si="0"/>
        <v>16338.928435021895</v>
      </c>
      <c r="AC29" s="10"/>
    </row>
    <row r="30" spans="1:29" x14ac:dyDescent="0.15">
      <c r="A30" s="6">
        <f>IFERROR(Age,"")</f>
        <v>39</v>
      </c>
      <c r="B30" s="10">
        <f>IFERROR(Salary,"")</f>
        <v>57473.710661881116</v>
      </c>
      <c r="C30" s="10">
        <f>IFERROR(Balance,"")</f>
        <v>117591.79193272769</v>
      </c>
      <c r="D30" s="10">
        <f>IFERROR(Interest,"")</f>
        <v>5879.5895966363851</v>
      </c>
      <c r="E30" s="10">
        <f>IFERROR(YearlySavings,"")</f>
        <v>6000</v>
      </c>
      <c r="F30" s="10">
        <f>IFERROR(DesiredRetirementIncome,"")</f>
        <v>0</v>
      </c>
      <c r="G30" s="10">
        <f>IFERROR(PensionIncome,"")</f>
        <v>0</v>
      </c>
      <c r="H30" s="10">
        <f>IFERROR(EndBalance,"")</f>
        <v>129471.38152936408</v>
      </c>
      <c r="I30" s="10">
        <f>IFERROR(Balance_Under,"")</f>
        <v>109751.46714042054</v>
      </c>
      <c r="J30" s="10">
        <f>IFERROR(Interest_Under,"")</f>
        <v>4390.058685616822</v>
      </c>
      <c r="K30" s="10">
        <f>IFERROR(YearlySavings_Under,"")</f>
        <v>6000</v>
      </c>
      <c r="L30" s="10">
        <f>IFERROR(DesiredRetirementIncome,"")</f>
        <v>0</v>
      </c>
      <c r="M30" s="10">
        <f>IFERROR(PensionIncome_Under,"")</f>
        <v>0</v>
      </c>
      <c r="N30" s="10">
        <f>IFERROR(EndBalance,"")</f>
        <v>120141.52582603737</v>
      </c>
      <c r="O30" s="10">
        <f>IFERROR(Balance_Over,"")</f>
        <v>126090.39557544244</v>
      </c>
      <c r="P30" s="10">
        <f>IFERROR(Interest_Over,"")</f>
        <v>7565.4237345265465</v>
      </c>
      <c r="Q30" s="10">
        <f>IFERROR(YearlySavings_Over,"")</f>
        <v>6000</v>
      </c>
      <c r="R30" s="10">
        <f>IFERROR(DesiredRetirementIncome,"")</f>
        <v>0</v>
      </c>
      <c r="S30" s="10">
        <f>IFERROR(PensionIncome_Over,"")</f>
        <v>0</v>
      </c>
      <c r="T30" s="10">
        <f>IFERROR(EndBalance,"")</f>
        <v>139655.819309969</v>
      </c>
      <c r="W30" s="10">
        <f>IF(Calculations!A30&lt;DesiredRetirementAge,H30,NA())</f>
        <v>129471.38152936408</v>
      </c>
      <c r="X30" s="10" t="e">
        <f>IF(Calculations!A30&gt;=(DesiredRetirementAge-1),H30,NA())</f>
        <v>#N/A</v>
      </c>
      <c r="Y30" s="10"/>
      <c r="AA30" s="10">
        <f t="shared" si="0"/>
        <v>19514.293483931629</v>
      </c>
      <c r="AC30" s="10"/>
    </row>
    <row r="31" spans="1:29" x14ac:dyDescent="0.15">
      <c r="A31" s="6">
        <f>IFERROR(Age,"")</f>
        <v>40</v>
      </c>
      <c r="B31" s="10">
        <f>IFERROR(Salary,"")</f>
        <v>58048.447768499929</v>
      </c>
      <c r="C31" s="10">
        <f>IFERROR(Balance,"")</f>
        <v>129471.38152936408</v>
      </c>
      <c r="D31" s="10">
        <f>IFERROR(Interest,"")</f>
        <v>6473.569076468204</v>
      </c>
      <c r="E31" s="10">
        <f>IFERROR(YearlySavings,"")</f>
        <v>6000</v>
      </c>
      <c r="F31" s="10">
        <f>IFERROR(DesiredRetirementIncome,"")</f>
        <v>0</v>
      </c>
      <c r="G31" s="10">
        <f>IFERROR(PensionIncome,"")</f>
        <v>0</v>
      </c>
      <c r="H31" s="10">
        <f>IFERROR(EndBalance,"")</f>
        <v>141944.95060583227</v>
      </c>
      <c r="I31" s="10">
        <f>IFERROR(Balance_Under,"")</f>
        <v>120141.52582603737</v>
      </c>
      <c r="J31" s="10">
        <f>IFERROR(Interest_Under,"")</f>
        <v>4805.6610330414951</v>
      </c>
      <c r="K31" s="10">
        <f>IFERROR(YearlySavings_Under,"")</f>
        <v>6000</v>
      </c>
      <c r="L31" s="10">
        <f>IFERROR(DesiredRetirementIncome,"")</f>
        <v>0</v>
      </c>
      <c r="M31" s="10">
        <f>IFERROR(PensionIncome_Under,"")</f>
        <v>0</v>
      </c>
      <c r="N31" s="10">
        <f>IFERROR(EndBalance,"")</f>
        <v>130947.18685907887</v>
      </c>
      <c r="O31" s="10">
        <f>IFERROR(Balance_Over,"")</f>
        <v>139655.819309969</v>
      </c>
      <c r="P31" s="10">
        <f>IFERROR(Interest_Over,"")</f>
        <v>8379.349158598141</v>
      </c>
      <c r="Q31" s="10">
        <f>IFERROR(YearlySavings_Over,"")</f>
        <v>6000</v>
      </c>
      <c r="R31" s="10">
        <f>IFERROR(DesiredRetirementIncome,"")</f>
        <v>0</v>
      </c>
      <c r="S31" s="10">
        <f>IFERROR(PensionIncome_Over,"")</f>
        <v>0</v>
      </c>
      <c r="T31" s="10">
        <f>IFERROR(EndBalance,"")</f>
        <v>154035.16846856714</v>
      </c>
      <c r="W31" s="10">
        <f>IF(Calculations!A31&lt;DesiredRetirementAge,H31,NA())</f>
        <v>141944.95060583227</v>
      </c>
      <c r="X31" s="10" t="e">
        <f>IF(Calculations!A31&gt;=(DesiredRetirementAge-1),H31,NA())</f>
        <v>#N/A</v>
      </c>
      <c r="Y31" s="10"/>
      <c r="AA31" s="10">
        <f t="shared" si="0"/>
        <v>23087.98160948827</v>
      </c>
      <c r="AC31" s="10"/>
    </row>
    <row r="32" spans="1:29" x14ac:dyDescent="0.15">
      <c r="A32" s="6">
        <f>IFERROR(Age,"")</f>
        <v>41</v>
      </c>
      <c r="B32" s="10">
        <f>IFERROR(Salary,"")</f>
        <v>58628.93224618493</v>
      </c>
      <c r="C32" s="10">
        <f>IFERROR(Balance,"")</f>
        <v>141944.95060583227</v>
      </c>
      <c r="D32" s="10">
        <f>IFERROR(Interest,"")</f>
        <v>7097.2475302916137</v>
      </c>
      <c r="E32" s="10">
        <f>IFERROR(YearlySavings,"")</f>
        <v>6000</v>
      </c>
      <c r="F32" s="10">
        <f>IFERROR(DesiredRetirementIncome,"")</f>
        <v>0</v>
      </c>
      <c r="G32" s="10">
        <f>IFERROR(PensionIncome,"")</f>
        <v>0</v>
      </c>
      <c r="H32" s="10">
        <f>IFERROR(EndBalance,"")</f>
        <v>155042.19813612389</v>
      </c>
      <c r="I32" s="10">
        <f>IFERROR(Balance_Under,"")</f>
        <v>130947.18685907887</v>
      </c>
      <c r="J32" s="10">
        <f>IFERROR(Interest_Under,"")</f>
        <v>5237.887474363155</v>
      </c>
      <c r="K32" s="10">
        <f>IFERROR(YearlySavings_Under,"")</f>
        <v>6000</v>
      </c>
      <c r="L32" s="10">
        <f>IFERROR(DesiredRetirementIncome,"")</f>
        <v>0</v>
      </c>
      <c r="M32" s="10">
        <f>IFERROR(PensionIncome_Under,"")</f>
        <v>0</v>
      </c>
      <c r="N32" s="10">
        <f>IFERROR(EndBalance,"")</f>
        <v>142185.07433344203</v>
      </c>
      <c r="O32" s="10">
        <f>IFERROR(Balance_Over,"")</f>
        <v>154035.16846856714</v>
      </c>
      <c r="P32" s="10">
        <f>IFERROR(Interest_Over,"")</f>
        <v>9242.1101081140296</v>
      </c>
      <c r="Q32" s="10">
        <f>IFERROR(YearlySavings_Over,"")</f>
        <v>6000</v>
      </c>
      <c r="R32" s="10">
        <f>IFERROR(DesiredRetirementIncome,"")</f>
        <v>0</v>
      </c>
      <c r="S32" s="10">
        <f>IFERROR(PensionIncome_Over,"")</f>
        <v>0</v>
      </c>
      <c r="T32" s="10">
        <f>IFERROR(EndBalance,"")</f>
        <v>169277.27857668116</v>
      </c>
      <c r="W32" s="10">
        <f>IF(Calculations!A32&lt;DesiredRetirementAge,H32,NA())</f>
        <v>155042.19813612389</v>
      </c>
      <c r="X32" s="10" t="e">
        <f>IF(Calculations!A32&gt;=(DesiredRetirementAge-1),H32,NA())</f>
        <v>#N/A</v>
      </c>
      <c r="Y32" s="10"/>
      <c r="AA32" s="10">
        <f t="shared" si="0"/>
        <v>27092.204243239132</v>
      </c>
      <c r="AC32" s="10"/>
    </row>
    <row r="33" spans="1:29" x14ac:dyDescent="0.15">
      <c r="A33" s="6">
        <f>IFERROR(Age,"")</f>
        <v>42</v>
      </c>
      <c r="B33" s="10">
        <f>IFERROR(Salary,"")</f>
        <v>59215.221568646783</v>
      </c>
      <c r="C33" s="10">
        <f>IFERROR(Balance,"")</f>
        <v>155042.19813612389</v>
      </c>
      <c r="D33" s="10">
        <f>IFERROR(Interest,"")</f>
        <v>7752.1099068061949</v>
      </c>
      <c r="E33" s="10">
        <f>IFERROR(YearlySavings,"")</f>
        <v>6000</v>
      </c>
      <c r="F33" s="10">
        <f>IFERROR(DesiredRetirementIncome,"")</f>
        <v>0</v>
      </c>
      <c r="G33" s="10">
        <f>IFERROR(PensionIncome,"")</f>
        <v>0</v>
      </c>
      <c r="H33" s="10">
        <f>IFERROR(EndBalance,"")</f>
        <v>168794.30804293009</v>
      </c>
      <c r="I33" s="10">
        <f>IFERROR(Balance_Under,"")</f>
        <v>142185.07433344203</v>
      </c>
      <c r="J33" s="10">
        <f>IFERROR(Interest_Under,"")</f>
        <v>5687.402973337681</v>
      </c>
      <c r="K33" s="10">
        <f>IFERROR(YearlySavings_Under,"")</f>
        <v>6000</v>
      </c>
      <c r="L33" s="10">
        <f>IFERROR(DesiredRetirementIncome,"")</f>
        <v>0</v>
      </c>
      <c r="M33" s="10">
        <f>IFERROR(PensionIncome_Under,"")</f>
        <v>0</v>
      </c>
      <c r="N33" s="10">
        <f>IFERROR(EndBalance,"")</f>
        <v>153872.47730677971</v>
      </c>
      <c r="O33" s="10">
        <f>IFERROR(Balance_Over,"")</f>
        <v>169277.27857668116</v>
      </c>
      <c r="P33" s="10">
        <f>IFERROR(Interest_Over,"")</f>
        <v>10156.636714600871</v>
      </c>
      <c r="Q33" s="10">
        <f>IFERROR(YearlySavings_Over,"")</f>
        <v>6000</v>
      </c>
      <c r="R33" s="10">
        <f>IFERROR(DesiredRetirementIncome,"")</f>
        <v>0</v>
      </c>
      <c r="S33" s="10">
        <f>IFERROR(PensionIncome_Over,"")</f>
        <v>0</v>
      </c>
      <c r="T33" s="10">
        <f>IFERROR(EndBalance,"")</f>
        <v>185433.91529128203</v>
      </c>
      <c r="W33" s="10">
        <f>IF(Calculations!A33&lt;DesiredRetirementAge,H33,NA())</f>
        <v>168794.30804293009</v>
      </c>
      <c r="X33" s="10" t="e">
        <f>IF(Calculations!A33&gt;=(DesiredRetirementAge-1),H33,NA())</f>
        <v>#N/A</v>
      </c>
      <c r="Y33" s="10"/>
      <c r="AA33" s="10">
        <f t="shared" si="0"/>
        <v>31561.437984502321</v>
      </c>
      <c r="AC33" s="10"/>
    </row>
    <row r="34" spans="1:29" x14ac:dyDescent="0.15">
      <c r="A34" s="6">
        <f>IFERROR(Age,"")</f>
        <v>43</v>
      </c>
      <c r="B34" s="10">
        <f>IFERROR(Salary,"")</f>
        <v>59807.373784333249</v>
      </c>
      <c r="C34" s="10">
        <f>IFERROR(Balance,"")</f>
        <v>168794.30804293009</v>
      </c>
      <c r="D34" s="10">
        <f>IFERROR(Interest,"")</f>
        <v>8439.7154021465049</v>
      </c>
      <c r="E34" s="10">
        <f>IFERROR(YearlySavings,"")</f>
        <v>6000</v>
      </c>
      <c r="F34" s="10">
        <f>IFERROR(DesiredRetirementIncome,"")</f>
        <v>0</v>
      </c>
      <c r="G34" s="10">
        <f>IFERROR(PensionIncome,"")</f>
        <v>0</v>
      </c>
      <c r="H34" s="10">
        <f>IFERROR(EndBalance,"")</f>
        <v>183234.0234450766</v>
      </c>
      <c r="I34" s="10">
        <f>IFERROR(Balance_Under,"")</f>
        <v>153872.47730677971</v>
      </c>
      <c r="J34" s="10">
        <f>IFERROR(Interest_Under,"")</f>
        <v>6154.8990922711882</v>
      </c>
      <c r="K34" s="10">
        <f>IFERROR(YearlySavings_Under,"")</f>
        <v>6000</v>
      </c>
      <c r="L34" s="10">
        <f>IFERROR(DesiredRetirementIncome,"")</f>
        <v>0</v>
      </c>
      <c r="M34" s="10">
        <f>IFERROR(PensionIncome_Under,"")</f>
        <v>0</v>
      </c>
      <c r="N34" s="10">
        <f>IFERROR(EndBalance,"")</f>
        <v>166027.3763990509</v>
      </c>
      <c r="O34" s="10">
        <f>IFERROR(Balance_Over,"")</f>
        <v>185433.91529128203</v>
      </c>
      <c r="P34" s="10">
        <f>IFERROR(Interest_Over,"")</f>
        <v>11126.034917476922</v>
      </c>
      <c r="Q34" s="10">
        <f>IFERROR(YearlySavings_Over,"")</f>
        <v>6000</v>
      </c>
      <c r="R34" s="10">
        <f>IFERROR(DesiredRetirementIncome,"")</f>
        <v>0</v>
      </c>
      <c r="S34" s="10">
        <f>IFERROR(PensionIncome_Over,"")</f>
        <v>0</v>
      </c>
      <c r="T34" s="10">
        <f>IFERROR(EndBalance,"")</f>
        <v>202559.95020875894</v>
      </c>
      <c r="W34" s="10">
        <f>IF(Calculations!A34&lt;DesiredRetirementAge,H34,NA())</f>
        <v>183234.0234450766</v>
      </c>
      <c r="X34" s="10" t="e">
        <f>IF(Calculations!A34&gt;=(DesiredRetirementAge-1),H34,NA())</f>
        <v>#N/A</v>
      </c>
      <c r="Y34" s="10"/>
      <c r="AA34" s="10">
        <f t="shared" si="0"/>
        <v>36532.573809708032</v>
      </c>
      <c r="AC34" s="10"/>
    </row>
    <row r="35" spans="1:29" x14ac:dyDescent="0.15">
      <c r="A35" s="6">
        <f>IFERROR(Age,"")</f>
        <v>44</v>
      </c>
      <c r="B35" s="10">
        <f>IFERROR(Salary,"")</f>
        <v>60405.447522176582</v>
      </c>
      <c r="C35" s="10">
        <f>IFERROR(Balance,"")</f>
        <v>183234.0234450766</v>
      </c>
      <c r="D35" s="10">
        <f>IFERROR(Interest,"")</f>
        <v>9161.70117225383</v>
      </c>
      <c r="E35" s="10">
        <f>IFERROR(YearlySavings,"")</f>
        <v>6000</v>
      </c>
      <c r="F35" s="10">
        <f>IFERROR(DesiredRetirementIncome,"")</f>
        <v>0</v>
      </c>
      <c r="G35" s="10">
        <f>IFERROR(PensionIncome,"")</f>
        <v>0</v>
      </c>
      <c r="H35" s="10">
        <f>IFERROR(EndBalance,"")</f>
        <v>198395.72461733042</v>
      </c>
      <c r="I35" s="10">
        <f>IFERROR(Balance_Under,"")</f>
        <v>166027.3763990509</v>
      </c>
      <c r="J35" s="10">
        <f>IFERROR(Interest_Under,"")</f>
        <v>6641.095055962036</v>
      </c>
      <c r="K35" s="10">
        <f>IFERROR(YearlySavings_Under,"")</f>
        <v>6000</v>
      </c>
      <c r="L35" s="10">
        <f>IFERROR(DesiredRetirementIncome,"")</f>
        <v>0</v>
      </c>
      <c r="M35" s="10">
        <f>IFERROR(PensionIncome_Under,"")</f>
        <v>0</v>
      </c>
      <c r="N35" s="10">
        <f>IFERROR(EndBalance,"")</f>
        <v>178668.47145501294</v>
      </c>
      <c r="O35" s="10">
        <f>IFERROR(Balance_Over,"")</f>
        <v>202559.95020875894</v>
      </c>
      <c r="P35" s="10">
        <f>IFERROR(Interest_Over,"")</f>
        <v>12153.597012525537</v>
      </c>
      <c r="Q35" s="10">
        <f>IFERROR(YearlySavings_Over,"")</f>
        <v>6000</v>
      </c>
      <c r="R35" s="10">
        <f>IFERROR(DesiredRetirementIncome,"")</f>
        <v>0</v>
      </c>
      <c r="S35" s="10">
        <f>IFERROR(PensionIncome_Over,"")</f>
        <v>0</v>
      </c>
      <c r="T35" s="10">
        <f>IFERROR(EndBalance,"")</f>
        <v>220713.54722128448</v>
      </c>
      <c r="W35" s="10">
        <f>IF(Calculations!A35&lt;DesiredRetirementAge,H35,NA())</f>
        <v>198395.72461733042</v>
      </c>
      <c r="X35" s="10" t="e">
        <f>IF(Calculations!A35&gt;=(DesiredRetirementAge-1),H35,NA())</f>
        <v>#N/A</v>
      </c>
      <c r="Y35" s="10"/>
      <c r="AA35" s="10">
        <f t="shared" si="0"/>
        <v>42045.075766271533</v>
      </c>
      <c r="AC35" s="10"/>
    </row>
    <row r="36" spans="1:29" x14ac:dyDescent="0.15">
      <c r="A36" s="6">
        <f>IFERROR(Age,"")</f>
        <v>45</v>
      </c>
      <c r="B36" s="10">
        <f>IFERROR(Salary,"")</f>
        <v>61009.501997398351</v>
      </c>
      <c r="C36" s="10">
        <f>IFERROR(Balance,"")</f>
        <v>198395.72461733042</v>
      </c>
      <c r="D36" s="10">
        <f>IFERROR(Interest,"")</f>
        <v>9919.7862308665208</v>
      </c>
      <c r="E36" s="10">
        <f>IFERROR(YearlySavings,"")</f>
        <v>6000</v>
      </c>
      <c r="F36" s="10">
        <f>IFERROR(DesiredRetirementIncome,"")</f>
        <v>0</v>
      </c>
      <c r="G36" s="10">
        <f>IFERROR(PensionIncome,"")</f>
        <v>0</v>
      </c>
      <c r="H36" s="10">
        <f>IFERROR(EndBalance,"")</f>
        <v>214315.51084819692</v>
      </c>
      <c r="I36" s="10">
        <f>IFERROR(Balance_Under,"")</f>
        <v>178668.47145501294</v>
      </c>
      <c r="J36" s="10">
        <f>IFERROR(Interest_Under,"")</f>
        <v>7146.7388582005178</v>
      </c>
      <c r="K36" s="10">
        <f>IFERROR(YearlySavings_Under,"")</f>
        <v>6000</v>
      </c>
      <c r="L36" s="10">
        <f>IFERROR(DesiredRetirementIncome,"")</f>
        <v>0</v>
      </c>
      <c r="M36" s="10">
        <f>IFERROR(PensionIncome_Under,"")</f>
        <v>0</v>
      </c>
      <c r="N36" s="10">
        <f>IFERROR(EndBalance,"")</f>
        <v>191815.21031321347</v>
      </c>
      <c r="O36" s="10">
        <f>IFERROR(Balance_Over,"")</f>
        <v>220713.54722128448</v>
      </c>
      <c r="P36" s="10">
        <f>IFERROR(Interest_Over,"")</f>
        <v>13242.81283327707</v>
      </c>
      <c r="Q36" s="10">
        <f>IFERROR(YearlySavings_Over,"")</f>
        <v>6000</v>
      </c>
      <c r="R36" s="10">
        <f>IFERROR(DesiredRetirementIncome,"")</f>
        <v>0</v>
      </c>
      <c r="S36" s="10">
        <f>IFERROR(PensionIncome_Over,"")</f>
        <v>0</v>
      </c>
      <c r="T36" s="10">
        <f>IFERROR(EndBalance,"")</f>
        <v>239956.36005456155</v>
      </c>
      <c r="W36" s="10">
        <f>IF(Calculations!A36&lt;DesiredRetirementAge,H36,NA())</f>
        <v>214315.51084819692</v>
      </c>
      <c r="X36" s="10" t="e">
        <f>IF(Calculations!A36&gt;=(DesiredRetirementAge-1),H36,NA())</f>
        <v>#N/A</v>
      </c>
      <c r="Y36" s="10"/>
      <c r="AA36" s="10">
        <f t="shared" si="0"/>
        <v>48141.149741348083</v>
      </c>
      <c r="AC36" s="10"/>
    </row>
    <row r="37" spans="1:29" x14ac:dyDescent="0.15">
      <c r="A37" s="6">
        <f>IFERROR(Age,"")</f>
        <v>46</v>
      </c>
      <c r="B37" s="10">
        <f>IFERROR(Salary,"")</f>
        <v>61619.597017372333</v>
      </c>
      <c r="C37" s="10">
        <f>IFERROR(Balance,"")</f>
        <v>214315.51084819692</v>
      </c>
      <c r="D37" s="10">
        <f>IFERROR(Interest,"")</f>
        <v>10715.775542409847</v>
      </c>
      <c r="E37" s="10">
        <f>IFERROR(YearlySavings,"")</f>
        <v>6000</v>
      </c>
      <c r="F37" s="10">
        <f>IFERROR(DesiredRetirementIncome,"")</f>
        <v>0</v>
      </c>
      <c r="G37" s="10">
        <f>IFERROR(PensionIncome,"")</f>
        <v>0</v>
      </c>
      <c r="H37" s="10">
        <f>IFERROR(EndBalance,"")</f>
        <v>231031.28639060678</v>
      </c>
      <c r="I37" s="10">
        <f>IFERROR(Balance_Under,"")</f>
        <v>191815.21031321347</v>
      </c>
      <c r="J37" s="10">
        <f>IFERROR(Interest_Under,"")</f>
        <v>7672.6084125285388</v>
      </c>
      <c r="K37" s="10">
        <f>IFERROR(YearlySavings_Under,"")</f>
        <v>6000</v>
      </c>
      <c r="L37" s="10">
        <f>IFERROR(DesiredRetirementIncome,"")</f>
        <v>0</v>
      </c>
      <c r="M37" s="10">
        <f>IFERROR(PensionIncome_Under,"")</f>
        <v>0</v>
      </c>
      <c r="N37" s="10">
        <f>IFERROR(EndBalance,"")</f>
        <v>205487.81872574199</v>
      </c>
      <c r="O37" s="10">
        <f>IFERROR(Balance_Over,"")</f>
        <v>239956.36005456155</v>
      </c>
      <c r="P37" s="10">
        <f>IFERROR(Interest_Over,"")</f>
        <v>14397.381603273694</v>
      </c>
      <c r="Q37" s="10">
        <f>IFERROR(YearlySavings_Over,"")</f>
        <v>6000</v>
      </c>
      <c r="R37" s="10">
        <f>IFERROR(DesiredRetirementIncome,"")</f>
        <v>0</v>
      </c>
      <c r="S37" s="10">
        <f>IFERROR(PensionIncome_Over,"")</f>
        <v>0</v>
      </c>
      <c r="T37" s="10">
        <f>IFERROR(EndBalance,"")</f>
        <v>260353.74165783526</v>
      </c>
      <c r="W37" s="10">
        <f>IF(Calculations!A37&lt;DesiredRetirementAge,H37,NA())</f>
        <v>231031.28639060678</v>
      </c>
      <c r="X37" s="10" t="e">
        <f>IF(Calculations!A37&gt;=(DesiredRetirementAge-1),H37,NA())</f>
        <v>#N/A</v>
      </c>
      <c r="Y37" s="10"/>
      <c r="AA37" s="10">
        <f t="shared" si="0"/>
        <v>54865.922932093265</v>
      </c>
      <c r="AC37" s="10"/>
    </row>
    <row r="38" spans="1:29" x14ac:dyDescent="0.15">
      <c r="A38" s="6">
        <f>IFERROR(Age,"")</f>
        <v>47</v>
      </c>
      <c r="B38" s="10">
        <f>IFERROR(Salary,"")</f>
        <v>62235.792987546054</v>
      </c>
      <c r="C38" s="10">
        <f>IFERROR(Balance,"")</f>
        <v>231031.28639060678</v>
      </c>
      <c r="D38" s="10">
        <f>IFERROR(Interest,"")</f>
        <v>11551.56431953034</v>
      </c>
      <c r="E38" s="10">
        <f>IFERROR(YearlySavings,"")</f>
        <v>6000</v>
      </c>
      <c r="F38" s="10">
        <f>IFERROR(DesiredRetirementIncome,"")</f>
        <v>0</v>
      </c>
      <c r="G38" s="10">
        <f>IFERROR(PensionIncome,"")</f>
        <v>0</v>
      </c>
      <c r="H38" s="10">
        <f>IFERROR(EndBalance,"")</f>
        <v>248582.85071013711</v>
      </c>
      <c r="I38" s="10">
        <f>IFERROR(Balance_Under,"")</f>
        <v>205487.81872574199</v>
      </c>
      <c r="J38" s="10">
        <f>IFERROR(Interest_Under,"")</f>
        <v>8219.51274902968</v>
      </c>
      <c r="K38" s="10">
        <f>IFERROR(YearlySavings_Under,"")</f>
        <v>6000</v>
      </c>
      <c r="L38" s="10">
        <f>IFERROR(DesiredRetirementIncome,"")</f>
        <v>0</v>
      </c>
      <c r="M38" s="10">
        <f>IFERROR(PensionIncome_Under,"")</f>
        <v>0</v>
      </c>
      <c r="N38" s="10">
        <f>IFERROR(EndBalance,"")</f>
        <v>219707.33147477166</v>
      </c>
      <c r="O38" s="10">
        <f>IFERROR(Balance_Over,"")</f>
        <v>260353.74165783526</v>
      </c>
      <c r="P38" s="10">
        <f>IFERROR(Interest_Over,"")</f>
        <v>15621.224499470116</v>
      </c>
      <c r="Q38" s="10">
        <f>IFERROR(YearlySavings_Over,"")</f>
        <v>6000</v>
      </c>
      <c r="R38" s="10">
        <f>IFERROR(DesiredRetirementIncome,"")</f>
        <v>0</v>
      </c>
      <c r="S38" s="10">
        <f>IFERROR(PensionIncome_Over,"")</f>
        <v>0</v>
      </c>
      <c r="T38" s="10">
        <f>IFERROR(EndBalance,"")</f>
        <v>281974.96615730535</v>
      </c>
      <c r="W38" s="10">
        <f>IF(Calculations!A38&lt;DesiredRetirementAge,H38,NA())</f>
        <v>248582.85071013711</v>
      </c>
      <c r="X38" s="10" t="e">
        <f>IF(Calculations!A38&gt;=(DesiredRetirementAge-1),H38,NA())</f>
        <v>#N/A</v>
      </c>
      <c r="Y38" s="10"/>
      <c r="AA38" s="10">
        <f t="shared" si="0"/>
        <v>62267.63468253368</v>
      </c>
      <c r="AC38" s="10"/>
    </row>
    <row r="39" spans="1:29" x14ac:dyDescent="0.15">
      <c r="A39" s="6">
        <f>IFERROR(Age,"")</f>
        <v>48</v>
      </c>
      <c r="B39" s="10">
        <f>IFERROR(Salary,"")</f>
        <v>62858.150917421517</v>
      </c>
      <c r="C39" s="10">
        <f>IFERROR(Balance,"")</f>
        <v>248582.85071013711</v>
      </c>
      <c r="D39" s="10">
        <f>IFERROR(Interest,"")</f>
        <v>12429.142535506857</v>
      </c>
      <c r="E39" s="10">
        <f>IFERROR(YearlySavings,"")</f>
        <v>6000</v>
      </c>
      <c r="F39" s="10">
        <f>IFERROR(DesiredRetirementIncome,"")</f>
        <v>0</v>
      </c>
      <c r="G39" s="10">
        <f>IFERROR(PensionIncome,"")</f>
        <v>0</v>
      </c>
      <c r="H39" s="10">
        <f>IFERROR(EndBalance,"")</f>
        <v>267011.99324564397</v>
      </c>
      <c r="I39" s="10">
        <f>IFERROR(Balance_Under,"")</f>
        <v>219707.33147477166</v>
      </c>
      <c r="J39" s="10">
        <f>IFERROR(Interest_Under,"")</f>
        <v>8788.2932589908669</v>
      </c>
      <c r="K39" s="10">
        <f>IFERROR(YearlySavings_Under,"")</f>
        <v>6000</v>
      </c>
      <c r="L39" s="10">
        <f>IFERROR(DesiredRetirementIncome,"")</f>
        <v>0</v>
      </c>
      <c r="M39" s="10">
        <f>IFERROR(PensionIncome_Under,"")</f>
        <v>0</v>
      </c>
      <c r="N39" s="10">
        <f>IFERROR(EndBalance,"")</f>
        <v>234495.62473376252</v>
      </c>
      <c r="O39" s="10">
        <f>IFERROR(Balance_Over,"")</f>
        <v>281974.96615730535</v>
      </c>
      <c r="P39" s="10">
        <f>IFERROR(Interest_Over,"")</f>
        <v>16918.497969438322</v>
      </c>
      <c r="Q39" s="10">
        <f>IFERROR(YearlySavings_Over,"")</f>
        <v>6000</v>
      </c>
      <c r="R39" s="10">
        <f>IFERROR(DesiredRetirementIncome,"")</f>
        <v>0</v>
      </c>
      <c r="S39" s="10">
        <f>IFERROR(PensionIncome_Over,"")</f>
        <v>0</v>
      </c>
      <c r="T39" s="10">
        <f>IFERROR(EndBalance,"")</f>
        <v>304893.46412674367</v>
      </c>
      <c r="W39" s="10">
        <f>IF(Calculations!A39&lt;DesiredRetirementAge,H39,NA())</f>
        <v>267011.99324564397</v>
      </c>
      <c r="X39" s="10" t="e">
        <f>IF(Calculations!A39&gt;=(DesiredRetirementAge-1),H39,NA())</f>
        <v>#N/A</v>
      </c>
      <c r="Y39" s="10"/>
      <c r="AA39" s="10">
        <f t="shared" si="0"/>
        <v>70397.839392981143</v>
      </c>
      <c r="AC39" s="10"/>
    </row>
    <row r="40" spans="1:29" x14ac:dyDescent="0.15">
      <c r="A40" s="6">
        <f>IFERROR(Age,"")</f>
        <v>49</v>
      </c>
      <c r="B40" s="10">
        <f>IFERROR(Salary,"")</f>
        <v>63486.732426595729</v>
      </c>
      <c r="C40" s="10">
        <f>IFERROR(Balance,"")</f>
        <v>267011.99324564397</v>
      </c>
      <c r="D40" s="10">
        <f>IFERROR(Interest,"")</f>
        <v>13350.599662282199</v>
      </c>
      <c r="E40" s="10">
        <f>IFERROR(YearlySavings,"")</f>
        <v>6000</v>
      </c>
      <c r="F40" s="10">
        <f>IFERROR(DesiredRetirementIncome,"")</f>
        <v>0</v>
      </c>
      <c r="G40" s="10">
        <f>IFERROR(PensionIncome,"")</f>
        <v>0</v>
      </c>
      <c r="H40" s="10">
        <f>IFERROR(EndBalance,"")</f>
        <v>286362.59290792618</v>
      </c>
      <c r="I40" s="10">
        <f>IFERROR(Balance_Under,"")</f>
        <v>234495.62473376252</v>
      </c>
      <c r="J40" s="10">
        <f>IFERROR(Interest_Under,"")</f>
        <v>9379.8249893505017</v>
      </c>
      <c r="K40" s="10">
        <f>IFERROR(YearlySavings_Under,"")</f>
        <v>6000</v>
      </c>
      <c r="L40" s="10">
        <f>IFERROR(DesiredRetirementIncome,"")</f>
        <v>0</v>
      </c>
      <c r="M40" s="10">
        <f>IFERROR(PensionIncome_Under,"")</f>
        <v>0</v>
      </c>
      <c r="N40" s="10">
        <f>IFERROR(EndBalance,"")</f>
        <v>249875.44972311304</v>
      </c>
      <c r="O40" s="10">
        <f>IFERROR(Balance_Over,"")</f>
        <v>304893.46412674367</v>
      </c>
      <c r="P40" s="10">
        <f>IFERROR(Interest_Over,"")</f>
        <v>18293.60784760462</v>
      </c>
      <c r="Q40" s="10">
        <f>IFERROR(YearlySavings_Over,"")</f>
        <v>6000</v>
      </c>
      <c r="R40" s="10">
        <f>IFERROR(DesiredRetirementIncome,"")</f>
        <v>0</v>
      </c>
      <c r="S40" s="10">
        <f>IFERROR(PensionIncome_Over,"")</f>
        <v>0</v>
      </c>
      <c r="T40" s="10">
        <f>IFERROR(EndBalance,"")</f>
        <v>329187.07197434828</v>
      </c>
      <c r="W40" s="10">
        <f>IF(Calculations!A40&lt;DesiredRetirementAge,H40,NA())</f>
        <v>286362.59290792618</v>
      </c>
      <c r="X40" s="10" t="e">
        <f>IF(Calculations!A40&gt;=(DesiredRetirementAge-1),H40,NA())</f>
        <v>#N/A</v>
      </c>
      <c r="Y40" s="10"/>
      <c r="AA40" s="10">
        <f t="shared" si="0"/>
        <v>79311.62225123524</v>
      </c>
      <c r="AC40" s="10"/>
    </row>
    <row r="41" spans="1:29" x14ac:dyDescent="0.15">
      <c r="A41" s="6">
        <f>IFERROR(Age,"")</f>
        <v>50</v>
      </c>
      <c r="B41" s="10">
        <f>IFERROR(Salary,"")</f>
        <v>64121.599750861686</v>
      </c>
      <c r="C41" s="10">
        <f>IFERROR(Balance,"")</f>
        <v>286362.59290792618</v>
      </c>
      <c r="D41" s="10">
        <f>IFERROR(Interest,"")</f>
        <v>14318.12964539631</v>
      </c>
      <c r="E41" s="10">
        <f>IFERROR(YearlySavings,"")</f>
        <v>6000</v>
      </c>
      <c r="F41" s="10">
        <f>IFERROR(DesiredRetirementIncome,"")</f>
        <v>0</v>
      </c>
      <c r="G41" s="10">
        <f>IFERROR(PensionIncome,"")</f>
        <v>0</v>
      </c>
      <c r="H41" s="10">
        <f>IFERROR(EndBalance,"")</f>
        <v>306680.7225533225</v>
      </c>
      <c r="I41" s="10">
        <f>IFERROR(Balance_Under,"")</f>
        <v>249875.44972311304</v>
      </c>
      <c r="J41" s="10">
        <f>IFERROR(Interest_Under,"")</f>
        <v>9995.017988924521</v>
      </c>
      <c r="K41" s="10">
        <f>IFERROR(YearlySavings_Under,"")</f>
        <v>6000</v>
      </c>
      <c r="L41" s="10">
        <f>IFERROR(DesiredRetirementIncome,"")</f>
        <v>0</v>
      </c>
      <c r="M41" s="10">
        <f>IFERROR(PensionIncome_Under,"")</f>
        <v>0</v>
      </c>
      <c r="N41" s="10">
        <f>IFERROR(EndBalance,"")</f>
        <v>265870.46771203756</v>
      </c>
      <c r="O41" s="10">
        <f>IFERROR(Balance_Over,"")</f>
        <v>329187.07197434828</v>
      </c>
      <c r="P41" s="10">
        <f>IFERROR(Interest_Over,"")</f>
        <v>19751.2243184609</v>
      </c>
      <c r="Q41" s="10">
        <f>IFERROR(YearlySavings_Over,"")</f>
        <v>6000</v>
      </c>
      <c r="R41" s="10">
        <f>IFERROR(DesiredRetirementIncome,"")</f>
        <v>0</v>
      </c>
      <c r="S41" s="10">
        <f>IFERROR(PensionIncome_Over,"")</f>
        <v>0</v>
      </c>
      <c r="T41" s="10">
        <f>IFERROR(EndBalance,"")</f>
        <v>354938.29629280919</v>
      </c>
      <c r="W41" s="10">
        <f>IF(Calculations!A41&lt;DesiredRetirementAge,H41,NA())</f>
        <v>306680.7225533225</v>
      </c>
      <c r="X41" s="10" t="e">
        <f>IF(Calculations!A41&gt;=(DesiredRetirementAge-1),H41,NA())</f>
        <v>#N/A</v>
      </c>
      <c r="Y41" s="10"/>
      <c r="AA41" s="10">
        <f t="shared" si="0"/>
        <v>89067.828580771631</v>
      </c>
      <c r="AC41" s="10"/>
    </row>
    <row r="42" spans="1:29" x14ac:dyDescent="0.15">
      <c r="A42" s="6">
        <f>IFERROR(Age,"")</f>
        <v>51</v>
      </c>
      <c r="B42" s="10">
        <f>IFERROR(Salary,"")</f>
        <v>64762.815748370303</v>
      </c>
      <c r="C42" s="10">
        <f>IFERROR(Balance,"")</f>
        <v>306680.7225533225</v>
      </c>
      <c r="D42" s="10">
        <f>IFERROR(Interest,"")</f>
        <v>15334.036127666126</v>
      </c>
      <c r="E42" s="10">
        <f>IFERROR(YearlySavings,"")</f>
        <v>6000</v>
      </c>
      <c r="F42" s="10">
        <f>IFERROR(DesiredRetirementIncome,"")</f>
        <v>0</v>
      </c>
      <c r="G42" s="10">
        <f>IFERROR(PensionIncome,"")</f>
        <v>0</v>
      </c>
      <c r="H42" s="10">
        <f>IFERROR(EndBalance,"")</f>
        <v>328014.75868098863</v>
      </c>
      <c r="I42" s="10">
        <f>IFERROR(Balance_Under,"")</f>
        <v>265870.46771203756</v>
      </c>
      <c r="J42" s="10">
        <f>IFERROR(Interest_Under,"")</f>
        <v>10634.818708481502</v>
      </c>
      <c r="K42" s="10">
        <f>IFERROR(YearlySavings_Under,"")</f>
        <v>6000</v>
      </c>
      <c r="L42" s="10">
        <f>IFERROR(DesiredRetirementIncome,"")</f>
        <v>0</v>
      </c>
      <c r="M42" s="10">
        <f>IFERROR(PensionIncome_Under,"")</f>
        <v>0</v>
      </c>
      <c r="N42" s="10">
        <f>IFERROR(EndBalance,"")</f>
        <v>282505.28642051906</v>
      </c>
      <c r="O42" s="10">
        <f>IFERROR(Balance_Over,"")</f>
        <v>354938.29629280919</v>
      </c>
      <c r="P42" s="10">
        <f>IFERROR(Interest_Over,"")</f>
        <v>21296.297777568554</v>
      </c>
      <c r="Q42" s="10">
        <f>IFERROR(YearlySavings_Over,"")</f>
        <v>6000</v>
      </c>
      <c r="R42" s="10">
        <f>IFERROR(DesiredRetirementIncome,"")</f>
        <v>0</v>
      </c>
      <c r="S42" s="10">
        <f>IFERROR(PensionIncome_Over,"")</f>
        <v>0</v>
      </c>
      <c r="T42" s="10">
        <f>IFERROR(EndBalance,"")</f>
        <v>382234.59407037776</v>
      </c>
      <c r="W42" s="10">
        <f>IF(Calculations!A42&lt;DesiredRetirementAge,H42,NA())</f>
        <v>328014.75868098863</v>
      </c>
      <c r="X42" s="10" t="e">
        <f>IF(Calculations!A42&gt;=(DesiredRetirementAge-1),H42,NA())</f>
        <v>#N/A</v>
      </c>
      <c r="Y42" s="10"/>
      <c r="AA42" s="10">
        <f t="shared" si="0"/>
        <v>99729.307649858703</v>
      </c>
      <c r="AC42" s="10"/>
    </row>
    <row r="43" spans="1:29" x14ac:dyDescent="0.15">
      <c r="A43" s="6">
        <f>IFERROR(Age,"")</f>
        <v>52</v>
      </c>
      <c r="B43" s="10">
        <f>IFERROR(Salary,"")</f>
        <v>65410.443905854008</v>
      </c>
      <c r="C43" s="10">
        <f>IFERROR(Balance,"")</f>
        <v>328014.75868098863</v>
      </c>
      <c r="D43" s="10">
        <f>IFERROR(Interest,"")</f>
        <v>16400.737934049434</v>
      </c>
      <c r="E43" s="10">
        <f>IFERROR(YearlySavings,"")</f>
        <v>6000</v>
      </c>
      <c r="F43" s="10">
        <f>IFERROR(DesiredRetirementIncome,"")</f>
        <v>0</v>
      </c>
      <c r="G43" s="10">
        <f>IFERROR(PensionIncome,"")</f>
        <v>0</v>
      </c>
      <c r="H43" s="10">
        <f>IFERROR(EndBalance,"")</f>
        <v>350415.49661503808</v>
      </c>
      <c r="I43" s="10">
        <f>IFERROR(Balance_Under,"")</f>
        <v>282505.28642051906</v>
      </c>
      <c r="J43" s="10">
        <f>IFERROR(Interest_Under,"")</f>
        <v>11300.211456820762</v>
      </c>
      <c r="K43" s="10">
        <f>IFERROR(YearlySavings_Under,"")</f>
        <v>6000</v>
      </c>
      <c r="L43" s="10">
        <f>IFERROR(DesiredRetirementIncome,"")</f>
        <v>0</v>
      </c>
      <c r="M43" s="10">
        <f>IFERROR(PensionIncome_Under,"")</f>
        <v>0</v>
      </c>
      <c r="N43" s="10">
        <f>IFERROR(EndBalance,"")</f>
        <v>299805.49787733983</v>
      </c>
      <c r="O43" s="10">
        <f>IFERROR(Balance_Over,"")</f>
        <v>382234.59407037776</v>
      </c>
      <c r="P43" s="10">
        <f>IFERROR(Interest_Over,"")</f>
        <v>22934.075644222667</v>
      </c>
      <c r="Q43" s="10">
        <f>IFERROR(YearlySavings_Over,"")</f>
        <v>6000</v>
      </c>
      <c r="R43" s="10">
        <f>IFERROR(DesiredRetirementIncome,"")</f>
        <v>0</v>
      </c>
      <c r="S43" s="10">
        <f>IFERROR(PensionIncome_Over,"")</f>
        <v>0</v>
      </c>
      <c r="T43" s="10">
        <f>IFERROR(EndBalance,"")</f>
        <v>411168.66971460043</v>
      </c>
      <c r="W43" s="10">
        <f>IF(Calculations!A43&lt;DesiredRetirementAge,H43,NA())</f>
        <v>350415.49661503808</v>
      </c>
      <c r="X43" s="10" t="e">
        <f>IF(Calculations!A43&gt;=(DesiredRetirementAge-1),H43,NA())</f>
        <v>#N/A</v>
      </c>
      <c r="Y43" s="10"/>
      <c r="AA43" s="10">
        <f t="shared" si="0"/>
        <v>111363.1718372606</v>
      </c>
      <c r="AC43" s="10"/>
    </row>
    <row r="44" spans="1:29" x14ac:dyDescent="0.15">
      <c r="A44" s="6">
        <f>IFERROR(Age,"")</f>
        <v>53</v>
      </c>
      <c r="B44" s="10">
        <f>IFERROR(Salary,"")</f>
        <v>66064.548344912546</v>
      </c>
      <c r="C44" s="10">
        <f>IFERROR(Balance,"")</f>
        <v>350415.49661503808</v>
      </c>
      <c r="D44" s="10">
        <f>IFERROR(Interest,"")</f>
        <v>17520.774830751903</v>
      </c>
      <c r="E44" s="10">
        <f>IFERROR(YearlySavings,"")</f>
        <v>6000</v>
      </c>
      <c r="F44" s="10">
        <f>IFERROR(DesiredRetirementIncome,"")</f>
        <v>0</v>
      </c>
      <c r="G44" s="10">
        <f>IFERROR(PensionIncome,"")</f>
        <v>0</v>
      </c>
      <c r="H44" s="10">
        <f>IFERROR(EndBalance,"")</f>
        <v>373936.27144578996</v>
      </c>
      <c r="I44" s="10">
        <f>IFERROR(Balance_Under,"")</f>
        <v>299805.49787733983</v>
      </c>
      <c r="J44" s="10">
        <f>IFERROR(Interest_Under,"")</f>
        <v>11992.219915093594</v>
      </c>
      <c r="K44" s="10">
        <f>IFERROR(YearlySavings_Under,"")</f>
        <v>6000</v>
      </c>
      <c r="L44" s="10">
        <f>IFERROR(DesiredRetirementIncome,"")</f>
        <v>0</v>
      </c>
      <c r="M44" s="10">
        <f>IFERROR(PensionIncome_Under,"")</f>
        <v>0</v>
      </c>
      <c r="N44" s="10">
        <f>IFERROR(EndBalance,"")</f>
        <v>317797.71779243345</v>
      </c>
      <c r="O44" s="10">
        <f>IFERROR(Balance_Over,"")</f>
        <v>411168.66971460043</v>
      </c>
      <c r="P44" s="10">
        <f>IFERROR(Interest_Over,"")</f>
        <v>24670.120182876028</v>
      </c>
      <c r="Q44" s="10">
        <f>IFERROR(YearlySavings_Over,"")</f>
        <v>6000</v>
      </c>
      <c r="R44" s="10">
        <f>IFERROR(DesiredRetirementIncome,"")</f>
        <v>0</v>
      </c>
      <c r="S44" s="10">
        <f>IFERROR(PensionIncome_Over,"")</f>
        <v>0</v>
      </c>
      <c r="T44" s="10">
        <f>IFERROR(EndBalance,"")</f>
        <v>441838.78989747644</v>
      </c>
      <c r="W44" s="10">
        <f>IF(Calculations!A44&lt;DesiredRetirementAge,H44,NA())</f>
        <v>373936.27144578996</v>
      </c>
      <c r="X44" s="10" t="e">
        <f>IF(Calculations!A44&gt;=(DesiredRetirementAge-1),H44,NA())</f>
        <v>#N/A</v>
      </c>
      <c r="Y44" s="10"/>
      <c r="AA44" s="10">
        <f t="shared" si="0"/>
        <v>124041.07210504299</v>
      </c>
      <c r="AC44" s="10"/>
    </row>
    <row r="45" spans="1:29" x14ac:dyDescent="0.15">
      <c r="A45" s="6">
        <f>IFERROR(Age,"")</f>
        <v>54</v>
      </c>
      <c r="B45" s="10">
        <f>IFERROR(Salary,"")</f>
        <v>66725.193828361676</v>
      </c>
      <c r="C45" s="10">
        <f>IFERROR(Balance,"")</f>
        <v>373936.27144578996</v>
      </c>
      <c r="D45" s="10">
        <f>IFERROR(Interest,"")</f>
        <v>18696.813572289499</v>
      </c>
      <c r="E45" s="10">
        <f>IFERROR(YearlySavings,"")</f>
        <v>6000</v>
      </c>
      <c r="F45" s="10">
        <f>IFERROR(DesiredRetirementIncome,"")</f>
        <v>0</v>
      </c>
      <c r="G45" s="10">
        <f>IFERROR(PensionIncome,"")</f>
        <v>0</v>
      </c>
      <c r="H45" s="10">
        <f>IFERROR(EndBalance,"")</f>
        <v>398633.08501807944</v>
      </c>
      <c r="I45" s="10">
        <f>IFERROR(Balance_Under,"")</f>
        <v>317797.71779243345</v>
      </c>
      <c r="J45" s="10">
        <f>IFERROR(Interest_Under,"")</f>
        <v>12711.908711697339</v>
      </c>
      <c r="K45" s="10">
        <f>IFERROR(YearlySavings_Under,"")</f>
        <v>6000</v>
      </c>
      <c r="L45" s="10">
        <f>IFERROR(DesiredRetirementIncome,"")</f>
        <v>0</v>
      </c>
      <c r="M45" s="10">
        <f>IFERROR(PensionIncome_Under,"")</f>
        <v>0</v>
      </c>
      <c r="N45" s="10">
        <f>IFERROR(EndBalance,"")</f>
        <v>336509.62650413078</v>
      </c>
      <c r="O45" s="10">
        <f>IFERROR(Balance_Over,"")</f>
        <v>441838.78989747644</v>
      </c>
      <c r="P45" s="10">
        <f>IFERROR(Interest_Over,"")</f>
        <v>26510.327393848587</v>
      </c>
      <c r="Q45" s="10">
        <f>IFERROR(YearlySavings_Over,"")</f>
        <v>6000</v>
      </c>
      <c r="R45" s="10">
        <f>IFERROR(DesiredRetirementIncome,"")</f>
        <v>0</v>
      </c>
      <c r="S45" s="10">
        <f>IFERROR(PensionIncome_Over,"")</f>
        <v>0</v>
      </c>
      <c r="T45" s="10">
        <f>IFERROR(EndBalance,"")</f>
        <v>474349.117291325</v>
      </c>
      <c r="W45" s="10">
        <f>IF(Calculations!A45&lt;DesiredRetirementAge,H45,NA())</f>
        <v>398633.08501807944</v>
      </c>
      <c r="X45" s="10" t="e">
        <f>IF(Calculations!A45&gt;=(DesiredRetirementAge-1),H45,NA())</f>
        <v>#N/A</v>
      </c>
      <c r="Y45" s="10"/>
      <c r="AA45" s="10">
        <f t="shared" si="0"/>
        <v>137839.49078719423</v>
      </c>
      <c r="AC45" s="10"/>
    </row>
    <row r="46" spans="1:29" x14ac:dyDescent="0.15">
      <c r="A46" s="6">
        <f>IFERROR(Age,"")</f>
        <v>55</v>
      </c>
      <c r="B46" s="10">
        <f>IFERROR(Salary,"")</f>
        <v>67392.445766645294</v>
      </c>
      <c r="C46" s="10">
        <f>IFERROR(Balance,"")</f>
        <v>398633.08501807944</v>
      </c>
      <c r="D46" s="10">
        <f>IFERROR(Interest,"")</f>
        <v>19931.654250903972</v>
      </c>
      <c r="E46" s="10">
        <f>IFERROR(YearlySavings,"")</f>
        <v>6000</v>
      </c>
      <c r="F46" s="10">
        <f>IFERROR(DesiredRetirementIncome,"")</f>
        <v>0</v>
      </c>
      <c r="G46" s="10">
        <f>IFERROR(PensionIncome,"")</f>
        <v>0</v>
      </c>
      <c r="H46" s="10">
        <f>IFERROR(EndBalance,"")</f>
        <v>424564.73926898342</v>
      </c>
      <c r="I46" s="10">
        <f>IFERROR(Balance_Under,"")</f>
        <v>336509.62650413078</v>
      </c>
      <c r="J46" s="10">
        <f>IFERROR(Interest_Under,"")</f>
        <v>13460.385060165232</v>
      </c>
      <c r="K46" s="10">
        <f>IFERROR(YearlySavings_Under,"")</f>
        <v>6000</v>
      </c>
      <c r="L46" s="10">
        <f>IFERROR(DesiredRetirementIncome,"")</f>
        <v>0</v>
      </c>
      <c r="M46" s="10">
        <f>IFERROR(PensionIncome_Under,"")</f>
        <v>0</v>
      </c>
      <c r="N46" s="10">
        <f>IFERROR(EndBalance,"")</f>
        <v>355970.01156429603</v>
      </c>
      <c r="O46" s="10">
        <f>IFERROR(Balance_Over,"")</f>
        <v>474349.117291325</v>
      </c>
      <c r="P46" s="10">
        <f>IFERROR(Interest_Over,"")</f>
        <v>28460.947037479502</v>
      </c>
      <c r="Q46" s="10">
        <f>IFERROR(YearlySavings_Over,"")</f>
        <v>6000</v>
      </c>
      <c r="R46" s="10">
        <f>IFERROR(DesiredRetirementIncome,"")</f>
        <v>0</v>
      </c>
      <c r="S46" s="10">
        <f>IFERROR(PensionIncome_Over,"")</f>
        <v>0</v>
      </c>
      <c r="T46" s="10">
        <f>IFERROR(EndBalance,"")</f>
        <v>508810.0643288045</v>
      </c>
      <c r="W46" s="10">
        <f>IF(Calculations!A46&lt;DesiredRetirementAge,H46,NA())</f>
        <v>424564.73926898342</v>
      </c>
      <c r="X46" s="10" t="e">
        <f>IF(Calculations!A46&gt;=(DesiredRetirementAge-1),H46,NA())</f>
        <v>#N/A</v>
      </c>
      <c r="Y46" s="10"/>
      <c r="AA46" s="10">
        <f t="shared" si="0"/>
        <v>152840.05276450847</v>
      </c>
      <c r="AC46" s="10"/>
    </row>
    <row r="47" spans="1:29" x14ac:dyDescent="0.15">
      <c r="A47" s="6">
        <f>IFERROR(Age,"")</f>
        <v>56</v>
      </c>
      <c r="B47" s="10">
        <f>IFERROR(Salary,"")</f>
        <v>68066.370224311744</v>
      </c>
      <c r="C47" s="10">
        <f>IFERROR(Balance,"")</f>
        <v>424564.73926898342</v>
      </c>
      <c r="D47" s="10">
        <f>IFERROR(Interest,"")</f>
        <v>21228.236963449173</v>
      </c>
      <c r="E47" s="10">
        <f>IFERROR(YearlySavings,"")</f>
        <v>6000</v>
      </c>
      <c r="F47" s="10">
        <f>IFERROR(DesiredRetirementIncome,"")</f>
        <v>0</v>
      </c>
      <c r="G47" s="10">
        <f>IFERROR(PensionIncome,"")</f>
        <v>0</v>
      </c>
      <c r="H47" s="10">
        <f>IFERROR(EndBalance,"")</f>
        <v>451792.97623243259</v>
      </c>
      <c r="I47" s="10">
        <f>IFERROR(Balance_Under,"")</f>
        <v>355970.01156429603</v>
      </c>
      <c r="J47" s="10">
        <f>IFERROR(Interest_Under,"")</f>
        <v>14238.800462571842</v>
      </c>
      <c r="K47" s="10">
        <f>IFERROR(YearlySavings_Under,"")</f>
        <v>6000</v>
      </c>
      <c r="L47" s="10">
        <f>IFERROR(DesiredRetirementIncome,"")</f>
        <v>0</v>
      </c>
      <c r="M47" s="10">
        <f>IFERROR(PensionIncome_Under,"")</f>
        <v>0</v>
      </c>
      <c r="N47" s="10">
        <f>IFERROR(EndBalance,"")</f>
        <v>376208.81202686788</v>
      </c>
      <c r="O47" s="10">
        <f>IFERROR(Balance_Over,"")</f>
        <v>508810.0643288045</v>
      </c>
      <c r="P47" s="10">
        <f>IFERROR(Interest_Over,"")</f>
        <v>30528.603859728271</v>
      </c>
      <c r="Q47" s="10">
        <f>IFERROR(YearlySavings_Over,"")</f>
        <v>6000</v>
      </c>
      <c r="R47" s="10">
        <f>IFERROR(DesiredRetirementIncome,"")</f>
        <v>0</v>
      </c>
      <c r="S47" s="10">
        <f>IFERROR(PensionIncome_Over,"")</f>
        <v>0</v>
      </c>
      <c r="T47" s="10">
        <f>IFERROR(EndBalance,"")</f>
        <v>545338.66818853281</v>
      </c>
      <c r="W47" s="10">
        <f>IF(Calculations!A47&lt;DesiredRetirementAge,H47,NA())</f>
        <v>451792.97623243259</v>
      </c>
      <c r="X47" s="10" t="e">
        <f>IF(Calculations!A47&gt;=(DesiredRetirementAge-1),H47,NA())</f>
        <v>#N/A</v>
      </c>
      <c r="Y47" s="10"/>
      <c r="AA47" s="10">
        <f t="shared" si="0"/>
        <v>169129.85616166494</v>
      </c>
      <c r="AC47" s="10"/>
    </row>
    <row r="48" spans="1:29" x14ac:dyDescent="0.15">
      <c r="A48" s="6">
        <f>IFERROR(Age,"")</f>
        <v>57</v>
      </c>
      <c r="B48" s="10">
        <f>IFERROR(Salary,"")</f>
        <v>68747.033926554868</v>
      </c>
      <c r="C48" s="10">
        <f>IFERROR(Balance,"")</f>
        <v>451792.97623243259</v>
      </c>
      <c r="D48" s="10">
        <f>IFERROR(Interest,"")</f>
        <v>22589.648811621631</v>
      </c>
      <c r="E48" s="10">
        <f>IFERROR(YearlySavings,"")</f>
        <v>6000</v>
      </c>
      <c r="F48" s="10">
        <f>IFERROR(DesiredRetirementIncome,"")</f>
        <v>0</v>
      </c>
      <c r="G48" s="10">
        <f>IFERROR(PensionIncome,"")</f>
        <v>0</v>
      </c>
      <c r="H48" s="10">
        <f>IFERROR(EndBalance,"")</f>
        <v>480382.62504405424</v>
      </c>
      <c r="I48" s="10">
        <f>IFERROR(Balance_Under,"")</f>
        <v>376208.81202686788</v>
      </c>
      <c r="J48" s="10">
        <f>IFERROR(Interest_Under,"")</f>
        <v>15048.352481074715</v>
      </c>
      <c r="K48" s="10">
        <f>IFERROR(YearlySavings_Under,"")</f>
        <v>6000</v>
      </c>
      <c r="L48" s="10">
        <f>IFERROR(DesiredRetirementIncome,"")</f>
        <v>0</v>
      </c>
      <c r="M48" s="10">
        <f>IFERROR(PensionIncome_Under,"")</f>
        <v>0</v>
      </c>
      <c r="N48" s="10">
        <f>IFERROR(EndBalance,"")</f>
        <v>397257.16450794257</v>
      </c>
      <c r="O48" s="10">
        <f>IFERROR(Balance_Over,"")</f>
        <v>545338.66818853281</v>
      </c>
      <c r="P48" s="10">
        <f>IFERROR(Interest_Over,"")</f>
        <v>32720.320091311973</v>
      </c>
      <c r="Q48" s="10">
        <f>IFERROR(YearlySavings_Over,"")</f>
        <v>6000</v>
      </c>
      <c r="R48" s="10">
        <f>IFERROR(DesiredRetirementIncome,"")</f>
        <v>0</v>
      </c>
      <c r="S48" s="10">
        <f>IFERROR(PensionIncome_Over,"")</f>
        <v>0</v>
      </c>
      <c r="T48" s="10">
        <f>IFERROR(EndBalance,"")</f>
        <v>584058.98827984475</v>
      </c>
      <c r="W48" s="10">
        <f>IF(Calculations!A48&lt;DesiredRetirementAge,H48,NA())</f>
        <v>480382.62504405424</v>
      </c>
      <c r="X48" s="10" t="e">
        <f>IF(Calculations!A48&gt;=(DesiredRetirementAge-1),H48,NA())</f>
        <v>#N/A</v>
      </c>
      <c r="Y48" s="10"/>
      <c r="AA48" s="10">
        <f t="shared" ref="AA48:AA79" si="1">T48-N48</f>
        <v>186801.82377190219</v>
      </c>
      <c r="AC48" s="10"/>
    </row>
    <row r="49" spans="1:29" x14ac:dyDescent="0.15">
      <c r="A49" s="6">
        <f>IFERROR(Age,"")</f>
        <v>58</v>
      </c>
      <c r="B49" s="10">
        <f>IFERROR(Salary,"")</f>
        <v>69434.504265820418</v>
      </c>
      <c r="C49" s="10">
        <f>IFERROR(Balance,"")</f>
        <v>480382.62504405424</v>
      </c>
      <c r="D49" s="10">
        <f>IFERROR(Interest,"")</f>
        <v>24019.131252202715</v>
      </c>
      <c r="E49" s="10">
        <f>IFERROR(YearlySavings,"")</f>
        <v>6000</v>
      </c>
      <c r="F49" s="10">
        <f>IFERROR(DesiredRetirementIncome,"")</f>
        <v>0</v>
      </c>
      <c r="G49" s="10">
        <f>IFERROR(PensionIncome,"")</f>
        <v>0</v>
      </c>
      <c r="H49" s="10">
        <f>IFERROR(EndBalance,"")</f>
        <v>510401.75629625696</v>
      </c>
      <c r="I49" s="10">
        <f>IFERROR(Balance_Under,"")</f>
        <v>397257.16450794257</v>
      </c>
      <c r="J49" s="10">
        <f>IFERROR(Interest_Under,"")</f>
        <v>15890.286580317703</v>
      </c>
      <c r="K49" s="10">
        <f>IFERROR(YearlySavings_Under,"")</f>
        <v>6000</v>
      </c>
      <c r="L49" s="10">
        <f>IFERROR(DesiredRetirementIncome,"")</f>
        <v>0</v>
      </c>
      <c r="M49" s="10">
        <f>IFERROR(PensionIncome_Under,"")</f>
        <v>0</v>
      </c>
      <c r="N49" s="10">
        <f>IFERROR(EndBalance,"")</f>
        <v>419147.45108826028</v>
      </c>
      <c r="O49" s="10">
        <f>IFERROR(Balance_Over,"")</f>
        <v>584058.98827984475</v>
      </c>
      <c r="P49" s="10">
        <f>IFERROR(Interest_Over,"")</f>
        <v>35043.539296790688</v>
      </c>
      <c r="Q49" s="10">
        <f>IFERROR(YearlySavings_Over,"")</f>
        <v>6000</v>
      </c>
      <c r="R49" s="10">
        <f>IFERROR(DesiredRetirementIncome,"")</f>
        <v>0</v>
      </c>
      <c r="S49" s="10">
        <f>IFERROR(PensionIncome_Over,"")</f>
        <v>0</v>
      </c>
      <c r="T49" s="10">
        <f>IFERROR(EndBalance,"")</f>
        <v>625102.52757663548</v>
      </c>
      <c r="W49" s="10">
        <f>IF(Calculations!A49&lt;DesiredRetirementAge,H49,NA())</f>
        <v>510401.75629625696</v>
      </c>
      <c r="X49" s="10" t="e">
        <f>IF(Calculations!A49&gt;=(DesiredRetirementAge-1),H49,NA())</f>
        <v>#N/A</v>
      </c>
      <c r="Y49" s="10"/>
      <c r="AA49" s="10">
        <f t="shared" si="1"/>
        <v>205955.0764883752</v>
      </c>
      <c r="AC49" s="10"/>
    </row>
    <row r="50" spans="1:29" x14ac:dyDescent="0.15">
      <c r="A50" s="6">
        <f>IFERROR(Age,"")</f>
        <v>59</v>
      </c>
      <c r="B50" s="10">
        <f>IFERROR(Salary,"")</f>
        <v>70128.849308478617</v>
      </c>
      <c r="C50" s="10">
        <f>IFERROR(Balance,"")</f>
        <v>510401.75629625696</v>
      </c>
      <c r="D50" s="10">
        <f>IFERROR(Interest,"")</f>
        <v>25520.08781481285</v>
      </c>
      <c r="E50" s="10">
        <f>IFERROR(YearlySavings,"")</f>
        <v>6000</v>
      </c>
      <c r="F50" s="10">
        <f>IFERROR(DesiredRetirementIncome,"")</f>
        <v>0</v>
      </c>
      <c r="G50" s="10">
        <f>IFERROR(PensionIncome,"")</f>
        <v>0</v>
      </c>
      <c r="H50" s="10">
        <f>IFERROR(EndBalance,"")</f>
        <v>541921.8441110698</v>
      </c>
      <c r="I50" s="10">
        <f>IFERROR(Balance_Under,"")</f>
        <v>419147.45108826028</v>
      </c>
      <c r="J50" s="10">
        <f>IFERROR(Interest_Under,"")</f>
        <v>16765.898043530411</v>
      </c>
      <c r="K50" s="10">
        <f>IFERROR(YearlySavings_Under,"")</f>
        <v>6000</v>
      </c>
      <c r="L50" s="10">
        <f>IFERROR(DesiredRetirementIncome,"")</f>
        <v>0</v>
      </c>
      <c r="M50" s="10">
        <f>IFERROR(PensionIncome_Under,"")</f>
        <v>0</v>
      </c>
      <c r="N50" s="10">
        <f>IFERROR(EndBalance,"")</f>
        <v>441913.34913179069</v>
      </c>
      <c r="O50" s="10">
        <f>IFERROR(Balance_Over,"")</f>
        <v>625102.52757663548</v>
      </c>
      <c r="P50" s="10">
        <f>IFERROR(Interest_Over,"")</f>
        <v>37506.151654598129</v>
      </c>
      <c r="Q50" s="10">
        <f>IFERROR(YearlySavings_Over,"")</f>
        <v>6000</v>
      </c>
      <c r="R50" s="10">
        <f>IFERROR(DesiredRetirementIncome,"")</f>
        <v>0</v>
      </c>
      <c r="S50" s="10">
        <f>IFERROR(PensionIncome_Over,"")</f>
        <v>0</v>
      </c>
      <c r="T50" s="10">
        <f>IFERROR(EndBalance,"")</f>
        <v>668608.67923123366</v>
      </c>
      <c r="W50" s="10">
        <f>IF(Calculations!A50&lt;DesiredRetirementAge,H50,NA())</f>
        <v>541921.8441110698</v>
      </c>
      <c r="X50" s="10" t="e">
        <f>IF(Calculations!A50&gt;=(DesiredRetirementAge-1),H50,NA())</f>
        <v>#N/A</v>
      </c>
      <c r="Y50" s="10"/>
      <c r="AA50" s="10">
        <f t="shared" si="1"/>
        <v>226695.33009944297</v>
      </c>
      <c r="AC50" s="10"/>
    </row>
    <row r="51" spans="1:29" x14ac:dyDescent="0.15">
      <c r="A51" s="6">
        <f>IFERROR(Age,"")</f>
        <v>60</v>
      </c>
      <c r="B51" s="10">
        <f>IFERROR(Salary,"")</f>
        <v>70830.137801563396</v>
      </c>
      <c r="C51" s="10">
        <f>IFERROR(Balance,"")</f>
        <v>541921.8441110698</v>
      </c>
      <c r="D51" s="10">
        <f>IFERROR(Interest,"")</f>
        <v>27096.09220555349</v>
      </c>
      <c r="E51" s="10">
        <f>IFERROR(YearlySavings,"")</f>
        <v>6000</v>
      </c>
      <c r="F51" s="10">
        <f>IFERROR(DesiredRetirementIncome,"")</f>
        <v>0</v>
      </c>
      <c r="G51" s="10">
        <f>IFERROR(PensionIncome,"")</f>
        <v>0</v>
      </c>
      <c r="H51" s="10">
        <f>IFERROR(EndBalance,"")</f>
        <v>575017.93631662335</v>
      </c>
      <c r="I51" s="10">
        <f>IFERROR(Balance_Under,"")</f>
        <v>441913.34913179069</v>
      </c>
      <c r="J51" s="10">
        <f>IFERROR(Interest_Under,"")</f>
        <v>17676.533965271628</v>
      </c>
      <c r="K51" s="10">
        <f>IFERROR(YearlySavings_Under,"")</f>
        <v>6000</v>
      </c>
      <c r="L51" s="10">
        <f>IFERROR(DesiredRetirementIncome,"")</f>
        <v>0</v>
      </c>
      <c r="M51" s="10">
        <f>IFERROR(PensionIncome_Under,"")</f>
        <v>0</v>
      </c>
      <c r="N51" s="10">
        <f>IFERROR(EndBalance,"")</f>
        <v>465589.88309706229</v>
      </c>
      <c r="O51" s="10">
        <f>IFERROR(Balance_Over,"")</f>
        <v>668608.67923123366</v>
      </c>
      <c r="P51" s="10">
        <f>IFERROR(Interest_Over,"")</f>
        <v>40116.520753874021</v>
      </c>
      <c r="Q51" s="10">
        <f>IFERROR(YearlySavings_Over,"")</f>
        <v>6000</v>
      </c>
      <c r="R51" s="10">
        <f>IFERROR(DesiredRetirementIncome,"")</f>
        <v>0</v>
      </c>
      <c r="S51" s="10">
        <f>IFERROR(PensionIncome_Over,"")</f>
        <v>0</v>
      </c>
      <c r="T51" s="10">
        <f>IFERROR(EndBalance,"")</f>
        <v>714725.19998510764</v>
      </c>
      <c r="W51" s="10">
        <f>IF(Calculations!A51&lt;DesiredRetirementAge,H51,NA())</f>
        <v>575017.93631662335</v>
      </c>
      <c r="X51" s="10" t="e">
        <f>IF(Calculations!A51&gt;=(DesiredRetirementAge-1),H51,NA())</f>
        <v>#N/A</v>
      </c>
      <c r="Y51" s="10"/>
      <c r="AA51" s="10">
        <f t="shared" si="1"/>
        <v>249135.31688804534</v>
      </c>
      <c r="AC51" s="10"/>
    </row>
    <row r="52" spans="1:29" x14ac:dyDescent="0.15">
      <c r="A52" s="6">
        <f>IFERROR(Age,"")</f>
        <v>61</v>
      </c>
      <c r="B52" s="10">
        <f>IFERROR(Salary,"")</f>
        <v>71538.439179579029</v>
      </c>
      <c r="C52" s="10">
        <f>IFERROR(Balance,"")</f>
        <v>575017.93631662335</v>
      </c>
      <c r="D52" s="10">
        <f>IFERROR(Interest,"")</f>
        <v>28750.896815831169</v>
      </c>
      <c r="E52" s="10">
        <f>IFERROR(YearlySavings,"")</f>
        <v>6000</v>
      </c>
      <c r="F52" s="10">
        <f>IFERROR(DesiredRetirementIncome,"")</f>
        <v>0</v>
      </c>
      <c r="G52" s="10">
        <f>IFERROR(PensionIncome,"")</f>
        <v>0</v>
      </c>
      <c r="H52" s="10">
        <f>IFERROR(EndBalance,"")</f>
        <v>609768.83313245454</v>
      </c>
      <c r="I52" s="10">
        <f>IFERROR(Balance_Under,"")</f>
        <v>465589.88309706229</v>
      </c>
      <c r="J52" s="10">
        <f>IFERROR(Interest_Under,"")</f>
        <v>18623.595323882491</v>
      </c>
      <c r="K52" s="10">
        <f>IFERROR(YearlySavings_Under,"")</f>
        <v>6000</v>
      </c>
      <c r="L52" s="10">
        <f>IFERROR(DesiredRetirementIncome,"")</f>
        <v>0</v>
      </c>
      <c r="M52" s="10">
        <f>IFERROR(PensionIncome_Under,"")</f>
        <v>0</v>
      </c>
      <c r="N52" s="10">
        <f>IFERROR(EndBalance,"")</f>
        <v>490213.47842094477</v>
      </c>
      <c r="O52" s="10">
        <f>IFERROR(Balance_Over,"")</f>
        <v>714725.19998510764</v>
      </c>
      <c r="P52" s="10">
        <f>IFERROR(Interest_Over,"")</f>
        <v>42883.511999106464</v>
      </c>
      <c r="Q52" s="10">
        <f>IFERROR(YearlySavings_Over,"")</f>
        <v>6000</v>
      </c>
      <c r="R52" s="10">
        <f>IFERROR(DesiredRetirementIncome,"")</f>
        <v>0</v>
      </c>
      <c r="S52" s="10">
        <f>IFERROR(PensionIncome_Over,"")</f>
        <v>0</v>
      </c>
      <c r="T52" s="10">
        <f>IFERROR(EndBalance,"")</f>
        <v>763608.71198421414</v>
      </c>
      <c r="W52" s="10">
        <f>IF(Calculations!A52&lt;DesiredRetirementAge,H52,NA())</f>
        <v>609768.83313245454</v>
      </c>
      <c r="X52" s="10" t="e">
        <f>IF(Calculations!A52&gt;=(DesiredRetirementAge-1),H52,NA())</f>
        <v>#N/A</v>
      </c>
      <c r="Y52" s="10"/>
      <c r="AA52" s="10">
        <f t="shared" si="1"/>
        <v>273395.23356326937</v>
      </c>
      <c r="AC52" s="10"/>
    </row>
    <row r="53" spans="1:29" x14ac:dyDescent="0.15">
      <c r="A53" s="6">
        <f>IFERROR(Age,"")</f>
        <v>62</v>
      </c>
      <c r="B53" s="10">
        <f>IFERROR(Salary,"")</f>
        <v>72253.823571374814</v>
      </c>
      <c r="C53" s="10">
        <f>IFERROR(Balance,"")</f>
        <v>609768.83313245454</v>
      </c>
      <c r="D53" s="10">
        <f>IFERROR(Interest,"")</f>
        <v>30488.44165662273</v>
      </c>
      <c r="E53" s="10">
        <f>IFERROR(YearlySavings,"")</f>
        <v>6000</v>
      </c>
      <c r="F53" s="10">
        <f>IFERROR(DesiredRetirementIncome,"")</f>
        <v>0</v>
      </c>
      <c r="G53" s="10">
        <f>IFERROR(PensionIncome,"")</f>
        <v>0</v>
      </c>
      <c r="H53" s="10">
        <f>IFERROR(EndBalance,"")</f>
        <v>646257.27478907723</v>
      </c>
      <c r="I53" s="10">
        <f>IFERROR(Balance_Under,"")</f>
        <v>490213.47842094477</v>
      </c>
      <c r="J53" s="10">
        <f>IFERROR(Interest_Under,"")</f>
        <v>19608.53913683779</v>
      </c>
      <c r="K53" s="10">
        <f>IFERROR(YearlySavings_Under,"")</f>
        <v>6000</v>
      </c>
      <c r="L53" s="10">
        <f>IFERROR(DesiredRetirementIncome,"")</f>
        <v>0</v>
      </c>
      <c r="M53" s="10">
        <f>IFERROR(PensionIncome_Under,"")</f>
        <v>0</v>
      </c>
      <c r="N53" s="10">
        <f>IFERROR(EndBalance,"")</f>
        <v>515822.01755778259</v>
      </c>
      <c r="O53" s="10">
        <f>IFERROR(Balance_Over,"")</f>
        <v>763608.71198421414</v>
      </c>
      <c r="P53" s="10">
        <f>IFERROR(Interest_Over,"")</f>
        <v>45816.522719052853</v>
      </c>
      <c r="Q53" s="10">
        <f>IFERROR(YearlySavings_Over,"")</f>
        <v>6000</v>
      </c>
      <c r="R53" s="10">
        <f>IFERROR(DesiredRetirementIncome,"")</f>
        <v>0</v>
      </c>
      <c r="S53" s="10">
        <f>IFERROR(PensionIncome_Over,"")</f>
        <v>0</v>
      </c>
      <c r="T53" s="10">
        <f>IFERROR(EndBalance,"")</f>
        <v>815425.23470326699</v>
      </c>
      <c r="W53" s="10">
        <f>IF(Calculations!A53&lt;DesiredRetirementAge,H53,NA())</f>
        <v>646257.27478907723</v>
      </c>
      <c r="X53" s="10" t="e">
        <f>IF(Calculations!A53&gt;=(DesiredRetirementAge-1),H53,NA())</f>
        <v>#N/A</v>
      </c>
      <c r="Y53" s="10"/>
      <c r="AA53" s="10">
        <f t="shared" si="1"/>
        <v>299603.21714548441</v>
      </c>
      <c r="AC53" s="10"/>
    </row>
    <row r="54" spans="1:29" x14ac:dyDescent="0.15">
      <c r="A54" s="6">
        <f>IFERROR(Age,"")</f>
        <v>63</v>
      </c>
      <c r="B54" s="10">
        <f>IFERROR(Salary,"")</f>
        <v>72976.361807088557</v>
      </c>
      <c r="C54" s="10">
        <f>IFERROR(Balance,"")</f>
        <v>646257.27478907723</v>
      </c>
      <c r="D54" s="10">
        <f>IFERROR(Interest,"")</f>
        <v>32312.863739453864</v>
      </c>
      <c r="E54" s="10">
        <f>IFERROR(YearlySavings,"")</f>
        <v>6000</v>
      </c>
      <c r="F54" s="10">
        <f>IFERROR(DesiredRetirementIncome,"")</f>
        <v>0</v>
      </c>
      <c r="G54" s="10">
        <f>IFERROR(PensionIncome,"")</f>
        <v>0</v>
      </c>
      <c r="H54" s="10">
        <f>IFERROR(EndBalance,"")</f>
        <v>684570.13852853107</v>
      </c>
      <c r="I54" s="10">
        <f>IFERROR(Balance_Under,"")</f>
        <v>515822.01755778259</v>
      </c>
      <c r="J54" s="10">
        <f>IFERROR(Interest_Under,"")</f>
        <v>20632.880702311304</v>
      </c>
      <c r="K54" s="10">
        <f>IFERROR(YearlySavings_Under,"")</f>
        <v>6000</v>
      </c>
      <c r="L54" s="10">
        <f>IFERROR(DesiredRetirementIncome,"")</f>
        <v>0</v>
      </c>
      <c r="M54" s="10">
        <f>IFERROR(PensionIncome_Under,"")</f>
        <v>0</v>
      </c>
      <c r="N54" s="10">
        <f>IFERROR(EndBalance,"")</f>
        <v>542454.89826009388</v>
      </c>
      <c r="O54" s="10">
        <f>IFERROR(Balance_Over,"")</f>
        <v>815425.23470326699</v>
      </c>
      <c r="P54" s="10">
        <f>IFERROR(Interest_Over,"")</f>
        <v>48925.514082196023</v>
      </c>
      <c r="Q54" s="10">
        <f>IFERROR(YearlySavings_Over,"")</f>
        <v>6000</v>
      </c>
      <c r="R54" s="10">
        <f>IFERROR(DesiredRetirementIncome,"")</f>
        <v>0</v>
      </c>
      <c r="S54" s="10">
        <f>IFERROR(PensionIncome_Over,"")</f>
        <v>0</v>
      </c>
      <c r="T54" s="10">
        <f>IFERROR(EndBalance,"")</f>
        <v>870350.74878546305</v>
      </c>
      <c r="W54" s="10">
        <f>IF(Calculations!A54&lt;DesiredRetirementAge,H54,NA())</f>
        <v>684570.13852853107</v>
      </c>
      <c r="X54" s="10" t="e">
        <f>IF(Calculations!A54&gt;=(DesiredRetirementAge-1),H54,NA())</f>
        <v>#N/A</v>
      </c>
      <c r="Y54" s="10"/>
      <c r="AA54" s="10">
        <f t="shared" si="1"/>
        <v>327895.85052536917</v>
      </c>
      <c r="AC54" s="10"/>
    </row>
    <row r="55" spans="1:29" x14ac:dyDescent="0.15">
      <c r="A55" s="6">
        <f>IFERROR(Age,"")</f>
        <v>64</v>
      </c>
      <c r="B55" s="10">
        <f>IFERROR(Salary,"")</f>
        <v>73706.125425159436</v>
      </c>
      <c r="C55" s="10">
        <f>IFERROR(Balance,"")</f>
        <v>684570.13852853107</v>
      </c>
      <c r="D55" s="10">
        <f>IFERROR(Interest,"")</f>
        <v>34228.506926426555</v>
      </c>
      <c r="E55" s="10">
        <f>IFERROR(YearlySavings,"")</f>
        <v>6000</v>
      </c>
      <c r="F55" s="10">
        <f>IFERROR(DesiredRetirementIncome,"")</f>
        <v>0</v>
      </c>
      <c r="G55" s="10">
        <f>IFERROR(PensionIncome,"")</f>
        <v>0</v>
      </c>
      <c r="H55" s="10">
        <f>IFERROR(EndBalance,"")</f>
        <v>724798.64545495762</v>
      </c>
      <c r="I55" s="10">
        <f>IFERROR(Balance_Under,"")</f>
        <v>542454.89826009388</v>
      </c>
      <c r="J55" s="10">
        <f>IFERROR(Interest_Under,"")</f>
        <v>21698.195930403755</v>
      </c>
      <c r="K55" s="10">
        <f>IFERROR(YearlySavings_Under,"")</f>
        <v>6000</v>
      </c>
      <c r="L55" s="10">
        <f>IFERROR(DesiredRetirementIncome,"")</f>
        <v>0</v>
      </c>
      <c r="M55" s="10">
        <f>IFERROR(PensionIncome_Under,"")</f>
        <v>0</v>
      </c>
      <c r="N55" s="10">
        <f>IFERROR(EndBalance,"")</f>
        <v>570153.09419049765</v>
      </c>
      <c r="O55" s="10">
        <f>IFERROR(Balance_Over,"")</f>
        <v>870350.74878546305</v>
      </c>
      <c r="P55" s="10">
        <f>IFERROR(Interest_Over,"")</f>
        <v>52221.04492712779</v>
      </c>
      <c r="Q55" s="10">
        <f>IFERROR(YearlySavings_Over,"")</f>
        <v>6000</v>
      </c>
      <c r="R55" s="10">
        <f>IFERROR(DesiredRetirementIncome,"")</f>
        <v>0</v>
      </c>
      <c r="S55" s="10">
        <f>IFERROR(PensionIncome_Over,"")</f>
        <v>0</v>
      </c>
      <c r="T55" s="10">
        <f>IFERROR(EndBalance,"")</f>
        <v>928571.79371259082</v>
      </c>
      <c r="W55" s="10">
        <f>IF(Calculations!A55&lt;DesiredRetirementAge,H55,NA())</f>
        <v>724798.64545495762</v>
      </c>
      <c r="X55" s="10">
        <f>IF(Calculations!A55&gt;=(DesiredRetirementAge-1),H55,NA())</f>
        <v>724798.64545495762</v>
      </c>
      <c r="Y55" s="10"/>
      <c r="AA55" s="10">
        <f t="shared" si="1"/>
        <v>358418.69952209317</v>
      </c>
      <c r="AC55" s="10"/>
    </row>
    <row r="56" spans="1:29" x14ac:dyDescent="0.15">
      <c r="A56" s="6">
        <f>IFERROR(Age,"")</f>
        <v>65</v>
      </c>
      <c r="B56" s="10">
        <f>IFERROR(Salary,"")</f>
        <v>0</v>
      </c>
      <c r="C56" s="10">
        <f>IFERROR(Balance,"")</f>
        <v>724798.64545495762</v>
      </c>
      <c r="D56" s="10">
        <f>IFERROR(Interest,"")</f>
        <v>32615.939045473093</v>
      </c>
      <c r="E56" s="10">
        <f>IFERROR(YearlySavings,"")</f>
        <v>0</v>
      </c>
      <c r="F56" s="10">
        <f>IFERROR(DesiredRetirementIncome,"")</f>
        <v>55832.390009558309</v>
      </c>
      <c r="G56" s="10">
        <f>IFERROR(PensionIncome,"")</f>
        <v>42000</v>
      </c>
      <c r="H56" s="10">
        <f>IFERROR(EndBalance,"")</f>
        <v>743582.19449087244</v>
      </c>
      <c r="I56" s="10">
        <f>IFERROR(Balance_Under,"")</f>
        <v>570153.09419049765</v>
      </c>
      <c r="J56" s="10">
        <f>IFERROR(Interest_Under,"")</f>
        <v>19955.358296667415</v>
      </c>
      <c r="K56" s="10">
        <f>IFERROR(YearlySavings_Under,"")</f>
        <v>0</v>
      </c>
      <c r="L56" s="10">
        <f>IFERROR(DesiredRetirementIncome,"")</f>
        <v>55832.390009558309</v>
      </c>
      <c r="M56" s="10">
        <f>IFERROR(PensionIncome_Under,"")</f>
        <v>42000</v>
      </c>
      <c r="N56" s="10">
        <f>IFERROR(EndBalance,"")</f>
        <v>576276.06247760681</v>
      </c>
      <c r="O56" s="10">
        <f>IFERROR(Balance_Over,"")</f>
        <v>928571.79371259082</v>
      </c>
      <c r="P56" s="10">
        <f>IFERROR(Interest_Over,"")</f>
        <v>51071.448654192493</v>
      </c>
      <c r="Q56" s="10">
        <f>IFERROR(YearlySavings_Over,"")</f>
        <v>0</v>
      </c>
      <c r="R56" s="10">
        <f>IFERROR(DesiredRetirementIncome,"")</f>
        <v>55832.390009558309</v>
      </c>
      <c r="S56" s="10">
        <f>IFERROR(PensionIncome_Over,"")</f>
        <v>42000</v>
      </c>
      <c r="T56" s="10">
        <f>IFERROR(EndBalance,"")</f>
        <v>965810.85235722503</v>
      </c>
      <c r="W56" s="10" t="e">
        <f>IF(Calculations!A56&lt;DesiredRetirementAge,H56,NA())</f>
        <v>#N/A</v>
      </c>
      <c r="X56" s="10">
        <f>IF(Calculations!A56&gt;=(DesiredRetirementAge-1),H56,NA())</f>
        <v>743582.19449087244</v>
      </c>
      <c r="Y56" s="10"/>
      <c r="AA56" s="10">
        <f t="shared" si="1"/>
        <v>389534.78987961821</v>
      </c>
      <c r="AC56" s="10"/>
    </row>
    <row r="57" spans="1:29" x14ac:dyDescent="0.15">
      <c r="A57" s="6">
        <f>IFERROR(Age,"")</f>
        <v>66</v>
      </c>
      <c r="B57" s="10">
        <f>IFERROR(Salary,"")</f>
        <v>0</v>
      </c>
      <c r="C57" s="10">
        <f>IFERROR(Balance,"")</f>
        <v>743582.19449087244</v>
      </c>
      <c r="D57" s="10">
        <f>IFERROR(Interest,"")</f>
        <v>33461.198752089258</v>
      </c>
      <c r="E57" s="10">
        <f>IFERROR(YearlySavings,"")</f>
        <v>0</v>
      </c>
      <c r="F57" s="10">
        <f>IFERROR(DesiredRetirementIncome,"")</f>
        <v>56390.713909653896</v>
      </c>
      <c r="G57" s="10">
        <f>IFERROR(PensionIncome,"")</f>
        <v>42000</v>
      </c>
      <c r="H57" s="10">
        <f>IFERROR(EndBalance,"")</f>
        <v>762652.67933330778</v>
      </c>
      <c r="I57" s="10">
        <f>IFERROR(Balance_Under,"")</f>
        <v>576276.06247760681</v>
      </c>
      <c r="J57" s="10">
        <f>IFERROR(Interest_Under,"")</f>
        <v>20169.662186716236</v>
      </c>
      <c r="K57" s="10">
        <f>IFERROR(YearlySavings_Under,"")</f>
        <v>0</v>
      </c>
      <c r="L57" s="10">
        <f>IFERROR(DesiredRetirementIncome,"")</f>
        <v>56390.713909653896</v>
      </c>
      <c r="M57" s="10">
        <f>IFERROR(PensionIncome_Under,"")</f>
        <v>42000</v>
      </c>
      <c r="N57" s="10">
        <f>IFERROR(EndBalance,"")</f>
        <v>582055.01075466909</v>
      </c>
      <c r="O57" s="10">
        <f>IFERROR(Balance_Over,"")</f>
        <v>965810.85235722503</v>
      </c>
      <c r="P57" s="10">
        <f>IFERROR(Interest_Over,"")</f>
        <v>53119.596879647375</v>
      </c>
      <c r="Q57" s="10">
        <f>IFERROR(YearlySavings_Over,"")</f>
        <v>0</v>
      </c>
      <c r="R57" s="10">
        <f>IFERROR(DesiredRetirementIncome,"")</f>
        <v>56390.713909653896</v>
      </c>
      <c r="S57" s="10">
        <f>IFERROR(PensionIncome_Over,"")</f>
        <v>42000</v>
      </c>
      <c r="T57" s="10">
        <f>IFERROR(EndBalance,"")</f>
        <v>1004539.7353272184</v>
      </c>
      <c r="W57" s="10" t="e">
        <f>IF(Calculations!A57&lt;DesiredRetirementAge,H57,NA())</f>
        <v>#N/A</v>
      </c>
      <c r="X57" s="10">
        <f>IF(Calculations!A57&gt;=(DesiredRetirementAge-1),H57,NA())</f>
        <v>762652.67933330778</v>
      </c>
      <c r="Y57" s="10"/>
      <c r="AA57" s="10">
        <f t="shared" si="1"/>
        <v>422484.72457254934</v>
      </c>
      <c r="AC57" s="10"/>
    </row>
    <row r="58" spans="1:29" x14ac:dyDescent="0.15">
      <c r="A58" s="6">
        <f>IFERROR(Age,"")</f>
        <v>67</v>
      </c>
      <c r="B58" s="10">
        <f>IFERROR(Salary,"")</f>
        <v>0</v>
      </c>
      <c r="C58" s="10">
        <f>IFERROR(Balance,"")</f>
        <v>762652.67933330778</v>
      </c>
      <c r="D58" s="10">
        <f>IFERROR(Interest,"")</f>
        <v>34319.37056999885</v>
      </c>
      <c r="E58" s="10">
        <f>IFERROR(YearlySavings,"")</f>
        <v>0</v>
      </c>
      <c r="F58" s="10">
        <f>IFERROR(DesiredRetirementIncome,"")</f>
        <v>56954.621048750443</v>
      </c>
      <c r="G58" s="10">
        <f>IFERROR(PensionIncome,"")</f>
        <v>42000</v>
      </c>
      <c r="H58" s="10">
        <f>IFERROR(EndBalance,"")</f>
        <v>782017.42885455617</v>
      </c>
      <c r="I58" s="10">
        <f>IFERROR(Balance_Under,"")</f>
        <v>582055.01075466909</v>
      </c>
      <c r="J58" s="10">
        <f>IFERROR(Interest_Under,"")</f>
        <v>20371.925376413416</v>
      </c>
      <c r="K58" s="10">
        <f>IFERROR(YearlySavings_Under,"")</f>
        <v>0</v>
      </c>
      <c r="L58" s="10">
        <f>IFERROR(DesiredRetirementIncome,"")</f>
        <v>56954.621048750443</v>
      </c>
      <c r="M58" s="10">
        <f>IFERROR(PensionIncome_Under,"")</f>
        <v>42000</v>
      </c>
      <c r="N58" s="10">
        <f>IFERROR(EndBalance,"")</f>
        <v>587472.315082332</v>
      </c>
      <c r="O58" s="10">
        <f>IFERROR(Balance_Over,"")</f>
        <v>1004539.7353272184</v>
      </c>
      <c r="P58" s="10">
        <f>IFERROR(Interest_Over,"")</f>
        <v>55249.685442997012</v>
      </c>
      <c r="Q58" s="10">
        <f>IFERROR(YearlySavings_Over,"")</f>
        <v>0</v>
      </c>
      <c r="R58" s="10">
        <f>IFERROR(DesiredRetirementIncome,"")</f>
        <v>56954.621048750443</v>
      </c>
      <c r="S58" s="10">
        <f>IFERROR(PensionIncome_Over,"")</f>
        <v>42000</v>
      </c>
      <c r="T58" s="10">
        <f>IFERROR(EndBalance,"")</f>
        <v>1044834.7997214649</v>
      </c>
      <c r="W58" s="10" t="e">
        <f>IF(Calculations!A58&lt;DesiredRetirementAge,H58,NA())</f>
        <v>#N/A</v>
      </c>
      <c r="X58" s="10">
        <f>IF(Calculations!A58&gt;=(DesiredRetirementAge-1),H58,NA())</f>
        <v>782017.42885455617</v>
      </c>
      <c r="Y58" s="10"/>
      <c r="AA58" s="10">
        <f t="shared" si="1"/>
        <v>457362.48463913286</v>
      </c>
    </row>
    <row r="59" spans="1:29" x14ac:dyDescent="0.15">
      <c r="A59" s="6">
        <f>IFERROR(Age,"")</f>
        <v>68</v>
      </c>
      <c r="B59" s="10">
        <f>IFERROR(Salary,"")</f>
        <v>0</v>
      </c>
      <c r="C59" s="10">
        <f>IFERROR(Balance,"")</f>
        <v>782017.42885455617</v>
      </c>
      <c r="D59" s="10">
        <f>IFERROR(Interest,"")</f>
        <v>35190.78429845503</v>
      </c>
      <c r="E59" s="10">
        <f>IFERROR(YearlySavings,"")</f>
        <v>0</v>
      </c>
      <c r="F59" s="10">
        <f>IFERROR(DesiredRetirementIncome,"")</f>
        <v>57524.167259237933</v>
      </c>
      <c r="G59" s="10">
        <f>IFERROR(PensionIncome,"")</f>
        <v>42000</v>
      </c>
      <c r="H59" s="10">
        <f>IFERROR(EndBalance,"")</f>
        <v>801684.0458937732</v>
      </c>
      <c r="I59" s="10">
        <f>IFERROR(Balance_Under,"")</f>
        <v>587472.315082332</v>
      </c>
      <c r="J59" s="10">
        <f>IFERROR(Interest_Under,"")</f>
        <v>20561.531027881618</v>
      </c>
      <c r="K59" s="10">
        <f>IFERROR(YearlySavings_Under,"")</f>
        <v>0</v>
      </c>
      <c r="L59" s="10">
        <f>IFERROR(DesiredRetirementIncome,"")</f>
        <v>57524.167259237933</v>
      </c>
      <c r="M59" s="10">
        <f>IFERROR(PensionIncome_Under,"")</f>
        <v>42000</v>
      </c>
      <c r="N59" s="10">
        <f>IFERROR(EndBalance,"")</f>
        <v>592509.6788509757</v>
      </c>
      <c r="O59" s="10">
        <f>IFERROR(Balance_Over,"")</f>
        <v>1044834.7997214649</v>
      </c>
      <c r="P59" s="10">
        <f>IFERROR(Interest_Over,"")</f>
        <v>57465.91398468057</v>
      </c>
      <c r="Q59" s="10">
        <f>IFERROR(YearlySavings_Over,"")</f>
        <v>0</v>
      </c>
      <c r="R59" s="10">
        <f>IFERROR(DesiredRetirementIncome,"")</f>
        <v>57524.167259237933</v>
      </c>
      <c r="S59" s="10">
        <f>IFERROR(PensionIncome_Over,"")</f>
        <v>42000</v>
      </c>
      <c r="T59" s="10">
        <f>IFERROR(EndBalance,"")</f>
        <v>1086776.5464469076</v>
      </c>
      <c r="W59" s="10" t="e">
        <f>IF(Calculations!A59&lt;DesiredRetirementAge,H59,NA())</f>
        <v>#N/A</v>
      </c>
      <c r="X59" s="10">
        <f>IF(Calculations!A59&gt;=(DesiredRetirementAge-1),H59,NA())</f>
        <v>801684.0458937732</v>
      </c>
      <c r="Y59" s="10"/>
      <c r="AA59" s="10">
        <f t="shared" si="1"/>
        <v>494266.86759593186</v>
      </c>
    </row>
    <row r="60" spans="1:29" x14ac:dyDescent="0.15">
      <c r="A60" s="6">
        <f>IFERROR(Age,"")</f>
        <v>69</v>
      </c>
      <c r="B60" s="10">
        <f>IFERROR(Salary,"")</f>
        <v>0</v>
      </c>
      <c r="C60" s="10">
        <f>IFERROR(Balance,"")</f>
        <v>801684.0458937732</v>
      </c>
      <c r="D60" s="10">
        <f>IFERROR(Interest,"")</f>
        <v>36075.782065219792</v>
      </c>
      <c r="E60" s="10">
        <f>IFERROR(YearlySavings,"")</f>
        <v>0</v>
      </c>
      <c r="F60" s="10">
        <f>IFERROR(DesiredRetirementIncome,"")</f>
        <v>58099.408931830316</v>
      </c>
      <c r="G60" s="10">
        <f>IFERROR(PensionIncome,"")</f>
        <v>42000</v>
      </c>
      <c r="H60" s="10">
        <f>IFERROR(EndBalance,"")</f>
        <v>821660.41902716272</v>
      </c>
      <c r="I60" s="10">
        <f>IFERROR(Balance_Under,"")</f>
        <v>592509.6788509757</v>
      </c>
      <c r="J60" s="10">
        <f>IFERROR(Interest_Under,"")</f>
        <v>20737.838759784147</v>
      </c>
      <c r="K60" s="10">
        <f>IFERROR(YearlySavings_Under,"")</f>
        <v>0</v>
      </c>
      <c r="L60" s="10">
        <f>IFERROR(DesiredRetirementIncome,"")</f>
        <v>58099.408931830316</v>
      </c>
      <c r="M60" s="10">
        <f>IFERROR(PensionIncome_Under,"")</f>
        <v>42000</v>
      </c>
      <c r="N60" s="10">
        <f>IFERROR(EndBalance,"")</f>
        <v>597148.10867892951</v>
      </c>
      <c r="O60" s="10">
        <f>IFERROR(Balance_Over,"")</f>
        <v>1086776.5464469076</v>
      </c>
      <c r="P60" s="10">
        <f>IFERROR(Interest_Over,"")</f>
        <v>59772.710054579919</v>
      </c>
      <c r="Q60" s="10">
        <f>IFERROR(YearlySavings_Over,"")</f>
        <v>0</v>
      </c>
      <c r="R60" s="10">
        <f>IFERROR(DesiredRetirementIncome,"")</f>
        <v>58099.408931830316</v>
      </c>
      <c r="S60" s="10">
        <f>IFERROR(PensionIncome_Over,"")</f>
        <v>42000</v>
      </c>
      <c r="T60" s="10">
        <f>IFERROR(EndBalance,"")</f>
        <v>1130449.847569657</v>
      </c>
      <c r="W60" s="10" t="e">
        <f>IF(Calculations!A60&lt;DesiredRetirementAge,H60,NA())</f>
        <v>#N/A</v>
      </c>
      <c r="X60" s="10">
        <f>IF(Calculations!A60&gt;=(DesiredRetirementAge-1),H60,NA())</f>
        <v>821660.41902716272</v>
      </c>
      <c r="Y60" s="10"/>
      <c r="AA60" s="10">
        <f t="shared" si="1"/>
        <v>533301.73889072752</v>
      </c>
    </row>
    <row r="61" spans="1:29" x14ac:dyDescent="0.15">
      <c r="A61" s="6">
        <f>IFERROR(Age,"")</f>
        <v>70</v>
      </c>
      <c r="B61" s="10">
        <f>IFERROR(Salary,"")</f>
        <v>0</v>
      </c>
      <c r="C61" s="10">
        <f>IFERROR(Balance,"")</f>
        <v>821660.41902716272</v>
      </c>
      <c r="D61" s="10">
        <f>IFERROR(Interest,"")</f>
        <v>36974.718856222324</v>
      </c>
      <c r="E61" s="10">
        <f>IFERROR(YearlySavings,"")</f>
        <v>0</v>
      </c>
      <c r="F61" s="10">
        <f>IFERROR(DesiredRetirementIncome,"")</f>
        <v>58680.403021148617</v>
      </c>
      <c r="G61" s="10">
        <f>IFERROR(PensionIncome,"")</f>
        <v>42000</v>
      </c>
      <c r="H61" s="10">
        <f>IFERROR(EndBalance,"")</f>
        <v>841954.73486223642</v>
      </c>
      <c r="I61" s="10">
        <f>IFERROR(Balance_Under,"")</f>
        <v>597148.10867892951</v>
      </c>
      <c r="J61" s="10">
        <f>IFERROR(Interest_Under,"")</f>
        <v>20900.183803762531</v>
      </c>
      <c r="K61" s="10">
        <f>IFERROR(YearlySavings_Under,"")</f>
        <v>0</v>
      </c>
      <c r="L61" s="10">
        <f>IFERROR(DesiredRetirementIncome,"")</f>
        <v>58680.403021148617</v>
      </c>
      <c r="M61" s="10">
        <f>IFERROR(PensionIncome_Under,"")</f>
        <v>42000</v>
      </c>
      <c r="N61" s="10">
        <f>IFERROR(EndBalance,"")</f>
        <v>601367.88946154341</v>
      </c>
      <c r="O61" s="10">
        <f>IFERROR(Balance_Over,"")</f>
        <v>1130449.847569657</v>
      </c>
      <c r="P61" s="10">
        <f>IFERROR(Interest_Over,"")</f>
        <v>62174.741616331135</v>
      </c>
      <c r="Q61" s="10">
        <f>IFERROR(YearlySavings_Over,"")</f>
        <v>0</v>
      </c>
      <c r="R61" s="10">
        <f>IFERROR(DesiredRetirementIncome,"")</f>
        <v>58680.403021148617</v>
      </c>
      <c r="S61" s="10">
        <f>IFERROR(PensionIncome_Over,"")</f>
        <v>42000</v>
      </c>
      <c r="T61" s="10">
        <f>IFERROR(EndBalance,"")</f>
        <v>1175944.1861648394</v>
      </c>
      <c r="W61" s="10" t="e">
        <f>IF(Calculations!A61&lt;DesiredRetirementAge,H61,NA())</f>
        <v>#N/A</v>
      </c>
      <c r="X61" s="10">
        <f>IF(Calculations!A61&gt;=(DesiredRetirementAge-1),H61,NA())</f>
        <v>841954.73486223642</v>
      </c>
      <c r="Y61" s="10"/>
      <c r="AA61" s="10">
        <f t="shared" si="1"/>
        <v>574576.29670329602</v>
      </c>
    </row>
    <row r="62" spans="1:29" x14ac:dyDescent="0.15">
      <c r="A62" s="6">
        <f>IFERROR(Age,"")</f>
        <v>71</v>
      </c>
      <c r="B62" s="10">
        <f>IFERROR(Salary,"")</f>
        <v>0</v>
      </c>
      <c r="C62" s="10">
        <f>IFERROR(Balance,"")</f>
        <v>841954.73486223642</v>
      </c>
      <c r="D62" s="10">
        <f>IFERROR(Interest,"")</f>
        <v>37887.963068800636</v>
      </c>
      <c r="E62" s="10">
        <f>IFERROR(YearlySavings,"")</f>
        <v>0</v>
      </c>
      <c r="F62" s="10">
        <f>IFERROR(DesiredRetirementIncome,"")</f>
        <v>59267.207051360114</v>
      </c>
      <c r="G62" s="10">
        <f>IFERROR(PensionIncome,"")</f>
        <v>42000</v>
      </c>
      <c r="H62" s="10">
        <f>IFERROR(EndBalance,"")</f>
        <v>862575.49087967689</v>
      </c>
      <c r="I62" s="10">
        <f>IFERROR(Balance_Under,"")</f>
        <v>601367.88946154341</v>
      </c>
      <c r="J62" s="10">
        <f>IFERROR(Interest_Under,"")</f>
        <v>21047.876131154018</v>
      </c>
      <c r="K62" s="10">
        <f>IFERROR(YearlySavings_Under,"")</f>
        <v>0</v>
      </c>
      <c r="L62" s="10">
        <f>IFERROR(DesiredRetirementIncome,"")</f>
        <v>59267.207051360114</v>
      </c>
      <c r="M62" s="10">
        <f>IFERROR(PensionIncome_Under,"")</f>
        <v>42000</v>
      </c>
      <c r="N62" s="10">
        <f>IFERROR(EndBalance,"")</f>
        <v>605148.55854133726</v>
      </c>
      <c r="O62" s="10">
        <f>IFERROR(Balance_Over,"")</f>
        <v>1175944.1861648394</v>
      </c>
      <c r="P62" s="10">
        <f>IFERROR(Interest_Over,"")</f>
        <v>64676.930239066169</v>
      </c>
      <c r="Q62" s="10">
        <f>IFERROR(YearlySavings_Over,"")</f>
        <v>0</v>
      </c>
      <c r="R62" s="10">
        <f>IFERROR(DesiredRetirementIncome,"")</f>
        <v>59267.207051360114</v>
      </c>
      <c r="S62" s="10">
        <f>IFERROR(PensionIncome_Over,"")</f>
        <v>42000</v>
      </c>
      <c r="T62" s="10">
        <f>IFERROR(EndBalance,"")</f>
        <v>1223353.9093525456</v>
      </c>
      <c r="W62" s="10" t="e">
        <f>IF(Calculations!A62&lt;DesiredRetirementAge,H62,NA())</f>
        <v>#N/A</v>
      </c>
      <c r="X62" s="10">
        <f>IF(Calculations!A62&gt;=(DesiredRetirementAge-1),H62,NA())</f>
        <v>862575.49087967689</v>
      </c>
      <c r="Y62" s="10"/>
      <c r="AA62" s="10">
        <f t="shared" si="1"/>
        <v>618205.35081120837</v>
      </c>
    </row>
    <row r="63" spans="1:29" x14ac:dyDescent="0.15">
      <c r="A63" s="6">
        <f>IFERROR(Age,"")</f>
        <v>72</v>
      </c>
      <c r="B63" s="10">
        <f>IFERROR(Salary,"")</f>
        <v>0</v>
      </c>
      <c r="C63" s="10">
        <f>IFERROR(Balance,"")</f>
        <v>862575.49087967689</v>
      </c>
      <c r="D63" s="10">
        <f>IFERROR(Interest,"")</f>
        <v>38815.897089585458</v>
      </c>
      <c r="E63" s="10">
        <f>IFERROR(YearlySavings,"")</f>
        <v>0</v>
      </c>
      <c r="F63" s="10">
        <f>IFERROR(DesiredRetirementIncome,"")</f>
        <v>59859.879121873695</v>
      </c>
      <c r="G63" s="10">
        <f>IFERROR(PensionIncome,"")</f>
        <v>42000</v>
      </c>
      <c r="H63" s="10">
        <f>IFERROR(EndBalance,"")</f>
        <v>883531.50884738867</v>
      </c>
      <c r="I63" s="10">
        <f>IFERROR(Balance_Under,"")</f>
        <v>605148.55854133726</v>
      </c>
      <c r="J63" s="10">
        <f>IFERROR(Interest_Under,"")</f>
        <v>21180.199548946803</v>
      </c>
      <c r="K63" s="10">
        <f>IFERROR(YearlySavings_Under,"")</f>
        <v>0</v>
      </c>
      <c r="L63" s="10">
        <f>IFERROR(DesiredRetirementIncome,"")</f>
        <v>59859.879121873695</v>
      </c>
      <c r="M63" s="10">
        <f>IFERROR(PensionIncome_Under,"")</f>
        <v>42000</v>
      </c>
      <c r="N63" s="10">
        <f>IFERROR(EndBalance,"")</f>
        <v>608468.87896841043</v>
      </c>
      <c r="O63" s="10">
        <f>IFERROR(Balance_Over,"")</f>
        <v>1223353.9093525456</v>
      </c>
      <c r="P63" s="10">
        <f>IFERROR(Interest_Over,"")</f>
        <v>67284.465014390007</v>
      </c>
      <c r="Q63" s="10">
        <f>IFERROR(YearlySavings_Over,"")</f>
        <v>0</v>
      </c>
      <c r="R63" s="10">
        <f>IFERROR(DesiredRetirementIncome,"")</f>
        <v>59859.879121873695</v>
      </c>
      <c r="S63" s="10">
        <f>IFERROR(PensionIncome_Over,"")</f>
        <v>42000</v>
      </c>
      <c r="T63" s="10">
        <f>IFERROR(EndBalance,"")</f>
        <v>1272778.4952450618</v>
      </c>
      <c r="W63" s="10" t="e">
        <f>IF(Calculations!A63&lt;DesiredRetirementAge,H63,NA())</f>
        <v>#N/A</v>
      </c>
      <c r="X63" s="10">
        <f>IF(Calculations!A63&gt;=(DesiredRetirementAge-1),H63,NA())</f>
        <v>883531.50884738867</v>
      </c>
      <c r="Y63" s="10"/>
      <c r="AA63" s="10">
        <f t="shared" si="1"/>
        <v>664309.61627665139</v>
      </c>
    </row>
    <row r="64" spans="1:29" x14ac:dyDescent="0.15">
      <c r="A64" s="6">
        <f>IFERROR(Age,"")</f>
        <v>73</v>
      </c>
      <c r="B64" s="10">
        <f>IFERROR(Salary,"")</f>
        <v>0</v>
      </c>
      <c r="C64" s="10">
        <f>IFERROR(Balance,"")</f>
        <v>883531.50884738867</v>
      </c>
      <c r="D64" s="10">
        <f>IFERROR(Interest,"")</f>
        <v>39758.917898132488</v>
      </c>
      <c r="E64" s="10">
        <f>IFERROR(YearlySavings,"")</f>
        <v>0</v>
      </c>
      <c r="F64" s="10">
        <f>IFERROR(DesiredRetirementIncome,"")</f>
        <v>60458.477913092451</v>
      </c>
      <c r="G64" s="10">
        <f>IFERROR(PensionIncome,"")</f>
        <v>42000</v>
      </c>
      <c r="H64" s="10">
        <f>IFERROR(EndBalance,"")</f>
        <v>904831.94883242866</v>
      </c>
      <c r="I64" s="10">
        <f>IFERROR(Balance_Under,"")</f>
        <v>608468.87896841043</v>
      </c>
      <c r="J64" s="10">
        <f>IFERROR(Interest_Under,"")</f>
        <v>21296.410763894364</v>
      </c>
      <c r="K64" s="10">
        <f>IFERROR(YearlySavings_Under,"")</f>
        <v>0</v>
      </c>
      <c r="L64" s="10">
        <f>IFERROR(DesiredRetirementIncome,"")</f>
        <v>60458.477913092451</v>
      </c>
      <c r="M64" s="10">
        <f>IFERROR(PensionIncome_Under,"")</f>
        <v>42000</v>
      </c>
      <c r="N64" s="10">
        <f>IFERROR(EndBalance,"")</f>
        <v>611306.81181921228</v>
      </c>
      <c r="O64" s="10">
        <f>IFERROR(Balance_Over,"")</f>
        <v>1272778.4952450618</v>
      </c>
      <c r="P64" s="10">
        <f>IFERROR(Interest_Over,"")</f>
        <v>70002.817238478397</v>
      </c>
      <c r="Q64" s="10">
        <f>IFERROR(YearlySavings_Over,"")</f>
        <v>0</v>
      </c>
      <c r="R64" s="10">
        <f>IFERROR(DesiredRetirementIncome,"")</f>
        <v>60458.477913092451</v>
      </c>
      <c r="S64" s="10">
        <f>IFERROR(PensionIncome_Over,"")</f>
        <v>42000</v>
      </c>
      <c r="T64" s="10">
        <f>IFERROR(EndBalance,"")</f>
        <v>1324322.8345704479</v>
      </c>
      <c r="W64" s="10" t="e">
        <f>IF(Calculations!A64&lt;DesiredRetirementAge,H64,NA())</f>
        <v>#N/A</v>
      </c>
      <c r="X64" s="10">
        <f>IF(Calculations!A64&gt;=(DesiredRetirementAge-1),H64,NA())</f>
        <v>904831.94883242866</v>
      </c>
      <c r="Y64" s="10"/>
      <c r="AA64" s="10">
        <f t="shared" si="1"/>
        <v>713016.02275123564</v>
      </c>
    </row>
    <row r="65" spans="1:27" x14ac:dyDescent="0.15">
      <c r="A65" s="6">
        <f>IFERROR(Age,"")</f>
        <v>74</v>
      </c>
      <c r="B65" s="10">
        <f>IFERROR(Salary,"")</f>
        <v>0</v>
      </c>
      <c r="C65" s="10">
        <f>IFERROR(Balance,"")</f>
        <v>904831.94883242866</v>
      </c>
      <c r="D65" s="10">
        <f>IFERROR(Interest,"")</f>
        <v>40717.437697459289</v>
      </c>
      <c r="E65" s="10">
        <f>IFERROR(YearlySavings,"")</f>
        <v>0</v>
      </c>
      <c r="F65" s="10">
        <f>IFERROR(DesiredRetirementIncome,"")</f>
        <v>61063.062692223379</v>
      </c>
      <c r="G65" s="10">
        <f>IFERROR(PensionIncome,"")</f>
        <v>42000</v>
      </c>
      <c r="H65" s="10">
        <f>IFERROR(EndBalance,"")</f>
        <v>926486.32383766456</v>
      </c>
      <c r="I65" s="10">
        <f>IFERROR(Balance_Under,"")</f>
        <v>611306.81181921228</v>
      </c>
      <c r="J65" s="10">
        <f>IFERROR(Interest_Under,"")</f>
        <v>21395.738413672429</v>
      </c>
      <c r="K65" s="10">
        <f>IFERROR(YearlySavings_Under,"")</f>
        <v>0</v>
      </c>
      <c r="L65" s="10">
        <f>IFERROR(DesiredRetirementIncome,"")</f>
        <v>61063.062692223379</v>
      </c>
      <c r="M65" s="10">
        <f>IFERROR(PensionIncome_Under,"")</f>
        <v>42000</v>
      </c>
      <c r="N65" s="10">
        <f>IFERROR(EndBalance,"")</f>
        <v>613639.48754066136</v>
      </c>
      <c r="O65" s="10">
        <f>IFERROR(Balance_Over,"")</f>
        <v>1324322.8345704479</v>
      </c>
      <c r="P65" s="10">
        <f>IFERROR(Interest_Over,"")</f>
        <v>72837.755901374636</v>
      </c>
      <c r="Q65" s="10">
        <f>IFERROR(YearlySavings_Over,"")</f>
        <v>0</v>
      </c>
      <c r="R65" s="10">
        <f>IFERROR(DesiredRetirementIncome,"")</f>
        <v>61063.062692223379</v>
      </c>
      <c r="S65" s="10">
        <f>IFERROR(PensionIncome_Over,"")</f>
        <v>42000</v>
      </c>
      <c r="T65" s="10">
        <f>IFERROR(EndBalance,"")</f>
        <v>1378097.5277795992</v>
      </c>
      <c r="W65" s="10" t="e">
        <f>IF(Calculations!A65&lt;DesiredRetirementAge,H65,NA())</f>
        <v>#N/A</v>
      </c>
      <c r="X65" s="10">
        <f>IF(Calculations!A65&gt;=(DesiredRetirementAge-1),H65,NA())</f>
        <v>926486.32383766456</v>
      </c>
      <c r="Y65" s="10"/>
      <c r="AA65" s="10">
        <f t="shared" si="1"/>
        <v>764458.04023893783</v>
      </c>
    </row>
    <row r="66" spans="1:27" x14ac:dyDescent="0.15">
      <c r="A66" s="6">
        <f>IFERROR(Age,"")</f>
        <v>75</v>
      </c>
      <c r="B66" s="10">
        <f>IFERROR(Salary,"")</f>
        <v>0</v>
      </c>
      <c r="C66" s="10">
        <f>IFERROR(Balance,"")</f>
        <v>926486.32383766456</v>
      </c>
      <c r="D66" s="10">
        <f>IFERROR(Interest,"")</f>
        <v>41691.8845726949</v>
      </c>
      <c r="E66" s="10">
        <f>IFERROR(YearlySavings,"")</f>
        <v>0</v>
      </c>
      <c r="F66" s="10">
        <f>IFERROR(DesiredRetirementIncome,"")</f>
        <v>61673.693319145619</v>
      </c>
      <c r="G66" s="10">
        <f>IFERROR(PensionIncome,"")</f>
        <v>42000</v>
      </c>
      <c r="H66" s="10">
        <f>IFERROR(EndBalance,"")</f>
        <v>948504.51509121386</v>
      </c>
      <c r="I66" s="10">
        <f>IFERROR(Balance_Under,"")</f>
        <v>613639.48754066136</v>
      </c>
      <c r="J66" s="10">
        <f>IFERROR(Interest_Under,"")</f>
        <v>21477.382063923145</v>
      </c>
      <c r="K66" s="10">
        <f>IFERROR(YearlySavings_Under,"")</f>
        <v>0</v>
      </c>
      <c r="L66" s="10">
        <f>IFERROR(DesiredRetirementIncome,"")</f>
        <v>61673.693319145619</v>
      </c>
      <c r="M66" s="10">
        <f>IFERROR(PensionIncome_Under,"")</f>
        <v>42000</v>
      </c>
      <c r="N66" s="10">
        <f>IFERROR(EndBalance,"")</f>
        <v>615443.17628543894</v>
      </c>
      <c r="O66" s="10">
        <f>IFERROR(Balance_Over,"")</f>
        <v>1378097.5277795992</v>
      </c>
      <c r="P66" s="10">
        <f>IFERROR(Interest_Over,"")</f>
        <v>75795.364027877949</v>
      </c>
      <c r="Q66" s="10">
        <f>IFERROR(YearlySavings_Over,"")</f>
        <v>0</v>
      </c>
      <c r="R66" s="10">
        <f>IFERROR(DesiredRetirementIncome,"")</f>
        <v>61673.693319145619</v>
      </c>
      <c r="S66" s="10">
        <f>IFERROR(PensionIncome_Over,"")</f>
        <v>42000</v>
      </c>
      <c r="T66" s="10">
        <f>IFERROR(EndBalance,"")</f>
        <v>1434219.1984883316</v>
      </c>
      <c r="W66" s="10" t="e">
        <f>IF(Calculations!A66&lt;DesiredRetirementAge,H66,NA())</f>
        <v>#N/A</v>
      </c>
      <c r="X66" s="10">
        <f>IF(Calculations!A66&gt;=(DesiredRetirementAge-1),H66,NA())</f>
        <v>948504.51509121386</v>
      </c>
      <c r="Y66" s="10"/>
      <c r="AA66" s="10">
        <f t="shared" si="1"/>
        <v>818776.02220289269</v>
      </c>
    </row>
    <row r="67" spans="1:27" x14ac:dyDescent="0.15">
      <c r="A67" s="6">
        <f>IFERROR(Age,"")</f>
        <v>76</v>
      </c>
      <c r="B67" s="10">
        <f>IFERROR(Salary,"")</f>
        <v>0</v>
      </c>
      <c r="C67" s="10">
        <f>IFERROR(Balance,"")</f>
        <v>948504.51509121386</v>
      </c>
      <c r="D67" s="10">
        <f>IFERROR(Interest,"")</f>
        <v>42682.703179104625</v>
      </c>
      <c r="E67" s="10">
        <f>IFERROR(YearlySavings,"")</f>
        <v>0</v>
      </c>
      <c r="F67" s="10">
        <f>IFERROR(DesiredRetirementIncome,"")</f>
        <v>62290.430252337057</v>
      </c>
      <c r="G67" s="10">
        <f>IFERROR(PensionIncome,"")</f>
        <v>42000</v>
      </c>
      <c r="H67" s="10">
        <f>IFERROR(EndBalance,"")</f>
        <v>970896.78801798145</v>
      </c>
      <c r="I67" s="10">
        <f>IFERROR(Balance_Under,"")</f>
        <v>615443.17628543894</v>
      </c>
      <c r="J67" s="10">
        <f>IFERROR(Interest_Under,"")</f>
        <v>21540.511169990361</v>
      </c>
      <c r="K67" s="10">
        <f>IFERROR(YearlySavings_Under,"")</f>
        <v>0</v>
      </c>
      <c r="L67" s="10">
        <f>IFERROR(DesiredRetirementIncome,"")</f>
        <v>62290.430252337057</v>
      </c>
      <c r="M67" s="10">
        <f>IFERROR(PensionIncome_Under,"")</f>
        <v>42000</v>
      </c>
      <c r="N67" s="10">
        <f>IFERROR(EndBalance,"")</f>
        <v>616693.25720309233</v>
      </c>
      <c r="O67" s="10">
        <f>IFERROR(Balance_Over,"")</f>
        <v>1434219.1984883316</v>
      </c>
      <c r="P67" s="10">
        <f>IFERROR(Interest_Over,"")</f>
        <v>78882.05591685824</v>
      </c>
      <c r="Q67" s="10">
        <f>IFERROR(YearlySavings_Over,"")</f>
        <v>0</v>
      </c>
      <c r="R67" s="10">
        <f>IFERROR(DesiredRetirementIncome,"")</f>
        <v>62290.430252337057</v>
      </c>
      <c r="S67" s="10">
        <f>IFERROR(PensionIncome_Over,"")</f>
        <v>42000</v>
      </c>
      <c r="T67" s="10">
        <f>IFERROR(EndBalance,"")</f>
        <v>1492810.8241528526</v>
      </c>
      <c r="W67" s="10" t="e">
        <f>IF(Calculations!A67&lt;DesiredRetirementAge,H67,NA())</f>
        <v>#N/A</v>
      </c>
      <c r="X67" s="10">
        <f>IF(Calculations!A67&gt;=(DesiredRetirementAge-1),H67,NA())</f>
        <v>970896.78801798145</v>
      </c>
      <c r="Y67" s="10"/>
      <c r="AA67" s="10">
        <f t="shared" si="1"/>
        <v>876117.56694976031</v>
      </c>
    </row>
    <row r="68" spans="1:27" x14ac:dyDescent="0.15">
      <c r="A68" s="6">
        <f>IFERROR(Age,"")</f>
        <v>77</v>
      </c>
      <c r="B68" s="10">
        <f>IFERROR(Salary,"")</f>
        <v>0</v>
      </c>
      <c r="C68" s="10">
        <f>IFERROR(Balance,"")</f>
        <v>970896.78801798145</v>
      </c>
      <c r="D68" s="10">
        <f>IFERROR(Interest,"")</f>
        <v>43690.355460809165</v>
      </c>
      <c r="E68" s="10">
        <f>IFERROR(YearlySavings,"")</f>
        <v>0</v>
      </c>
      <c r="F68" s="10">
        <f>IFERROR(DesiredRetirementIncome,"")</f>
        <v>62913.334554860434</v>
      </c>
      <c r="G68" s="10">
        <f>IFERROR(PensionIncome,"")</f>
        <v>42000</v>
      </c>
      <c r="H68" s="10">
        <f>IFERROR(EndBalance,"")</f>
        <v>993673.80892393016</v>
      </c>
      <c r="I68" s="10">
        <f>IFERROR(Balance_Under,"")</f>
        <v>616693.25720309233</v>
      </c>
      <c r="J68" s="10">
        <f>IFERROR(Interest_Under,"")</f>
        <v>21584.26400210823</v>
      </c>
      <c r="K68" s="10">
        <f>IFERROR(YearlySavings_Under,"")</f>
        <v>0</v>
      </c>
      <c r="L68" s="10">
        <f>IFERROR(DesiredRetirementIncome,"")</f>
        <v>62913.334554860434</v>
      </c>
      <c r="M68" s="10">
        <f>IFERROR(PensionIncome_Under,"")</f>
        <v>42000</v>
      </c>
      <c r="N68" s="10">
        <f>IFERROR(EndBalance,"")</f>
        <v>617364.1866503401</v>
      </c>
      <c r="O68" s="10">
        <f>IFERROR(Balance_Over,"")</f>
        <v>1492810.8241528526</v>
      </c>
      <c r="P68" s="10">
        <f>IFERROR(Interest_Over,"")</f>
        <v>82104.595328406896</v>
      </c>
      <c r="Q68" s="10">
        <f>IFERROR(YearlySavings_Over,"")</f>
        <v>0</v>
      </c>
      <c r="R68" s="10">
        <f>IFERROR(DesiredRetirementIncome,"")</f>
        <v>62913.334554860434</v>
      </c>
      <c r="S68" s="10">
        <f>IFERROR(PensionIncome_Over,"")</f>
        <v>42000</v>
      </c>
      <c r="T68" s="10">
        <f>IFERROR(EndBalance,"")</f>
        <v>1554002.0849263992</v>
      </c>
      <c r="W68" s="10" t="e">
        <f>IF(Calculations!A68&lt;DesiredRetirementAge,H68,NA())</f>
        <v>#N/A</v>
      </c>
      <c r="X68" s="10">
        <f>IF(Calculations!A68&gt;=(DesiredRetirementAge-1),H68,NA())</f>
        <v>993673.80892393016</v>
      </c>
      <c r="Y68" s="10"/>
      <c r="AA68" s="10">
        <f t="shared" si="1"/>
        <v>936637.89827605907</v>
      </c>
    </row>
    <row r="69" spans="1:27" x14ac:dyDescent="0.15">
      <c r="A69" s="6">
        <f>IFERROR(Age,"")</f>
        <v>78</v>
      </c>
      <c r="B69" s="10">
        <f>IFERROR(Salary,"")</f>
        <v>0</v>
      </c>
      <c r="C69" s="10">
        <f>IFERROR(Balance,"")</f>
        <v>993673.80892393016</v>
      </c>
      <c r="D69" s="10">
        <f>IFERROR(Interest,"")</f>
        <v>44715.321401576854</v>
      </c>
      <c r="E69" s="10">
        <f>IFERROR(YearlySavings,"")</f>
        <v>0</v>
      </c>
      <c r="F69" s="10">
        <f>IFERROR(DesiredRetirementIncome,"")</f>
        <v>63542.467900409029</v>
      </c>
      <c r="G69" s="10">
        <f>IFERROR(PensionIncome,"")</f>
        <v>42000</v>
      </c>
      <c r="H69" s="10">
        <f>IFERROR(EndBalance,"")</f>
        <v>1016846.662425098</v>
      </c>
      <c r="I69" s="10">
        <f>IFERROR(Balance_Under,"")</f>
        <v>617364.1866503401</v>
      </c>
      <c r="J69" s="10">
        <f>IFERROR(Interest_Under,"")</f>
        <v>21607.746532761903</v>
      </c>
      <c r="K69" s="10">
        <f>IFERROR(YearlySavings_Under,"")</f>
        <v>0</v>
      </c>
      <c r="L69" s="10">
        <f>IFERROR(DesiredRetirementIncome,"")</f>
        <v>63542.467900409029</v>
      </c>
      <c r="M69" s="10">
        <f>IFERROR(PensionIncome_Under,"")</f>
        <v>42000</v>
      </c>
      <c r="N69" s="10">
        <f>IFERROR(EndBalance,"")</f>
        <v>617429.46528269304</v>
      </c>
      <c r="O69" s="10">
        <f>IFERROR(Balance_Over,"")</f>
        <v>1554002.0849263992</v>
      </c>
      <c r="P69" s="10">
        <f>IFERROR(Interest_Over,"")</f>
        <v>85470.114670951953</v>
      </c>
      <c r="Q69" s="10">
        <f>IFERROR(YearlySavings_Over,"")</f>
        <v>0</v>
      </c>
      <c r="R69" s="10">
        <f>IFERROR(DesiredRetirementIncome,"")</f>
        <v>63542.467900409029</v>
      </c>
      <c r="S69" s="10">
        <f>IFERROR(PensionIncome_Over,"")</f>
        <v>42000</v>
      </c>
      <c r="T69" s="10">
        <f>IFERROR(EndBalance,"")</f>
        <v>1617929.7316969419</v>
      </c>
      <c r="W69" s="10" t="e">
        <f>IF(Calculations!A69&lt;DesiredRetirementAge,H69,NA())</f>
        <v>#N/A</v>
      </c>
      <c r="X69" s="10">
        <f>IF(Calculations!A69&gt;=(DesiredRetirementAge-1),H69,NA())</f>
        <v>1016846.662425098</v>
      </c>
      <c r="Y69" s="10"/>
      <c r="AA69" s="10">
        <f t="shared" si="1"/>
        <v>1000500.2664142489</v>
      </c>
    </row>
    <row r="70" spans="1:27" x14ac:dyDescent="0.15">
      <c r="A70" s="6">
        <f>IFERROR(Age,"")</f>
        <v>79</v>
      </c>
      <c r="B70" s="10">
        <f>IFERROR(Salary,"")</f>
        <v>0</v>
      </c>
      <c r="C70" s="10">
        <f>IFERROR(Balance,"")</f>
        <v>1016846.662425098</v>
      </c>
      <c r="D70" s="10">
        <f>IFERROR(Interest,"")</f>
        <v>45758.09980912941</v>
      </c>
      <c r="E70" s="10">
        <f>IFERROR(YearlySavings,"")</f>
        <v>0</v>
      </c>
      <c r="F70" s="10">
        <f>IFERROR(DesiredRetirementIncome,"")</f>
        <v>64177.892579413136</v>
      </c>
      <c r="G70" s="10">
        <f>IFERROR(PensionIncome,"")</f>
        <v>42000</v>
      </c>
      <c r="H70" s="10">
        <f>IFERROR(EndBalance,"")</f>
        <v>1040426.8696548144</v>
      </c>
      <c r="I70" s="10">
        <f>IFERROR(Balance_Under,"")</f>
        <v>617429.46528269304</v>
      </c>
      <c r="J70" s="10">
        <f>IFERROR(Interest_Under,"")</f>
        <v>21610.031284894256</v>
      </c>
      <c r="K70" s="10">
        <f>IFERROR(YearlySavings_Under,"")</f>
        <v>0</v>
      </c>
      <c r="L70" s="10">
        <f>IFERROR(DesiredRetirementIncome,"")</f>
        <v>64177.892579413136</v>
      </c>
      <c r="M70" s="10">
        <f>IFERROR(PensionIncome_Under,"")</f>
        <v>42000</v>
      </c>
      <c r="N70" s="10">
        <f>IFERROR(EndBalance,"")</f>
        <v>616861.60398817412</v>
      </c>
      <c r="O70" s="10">
        <f>IFERROR(Balance_Over,"")</f>
        <v>1617929.7316969419</v>
      </c>
      <c r="P70" s="10">
        <f>IFERROR(Interest_Over,"")</f>
        <v>88986.13524333181</v>
      </c>
      <c r="Q70" s="10">
        <f>IFERROR(YearlySavings_Over,"")</f>
        <v>0</v>
      </c>
      <c r="R70" s="10">
        <f>IFERROR(DesiredRetirementIncome,"")</f>
        <v>64177.892579413136</v>
      </c>
      <c r="S70" s="10">
        <f>IFERROR(PensionIncome_Over,"")</f>
        <v>42000</v>
      </c>
      <c r="T70" s="10">
        <f>IFERROR(EndBalance,"")</f>
        <v>1684737.9743608604</v>
      </c>
      <c r="W70" s="10" t="e">
        <f>IF(Calculations!A70&lt;DesiredRetirementAge,H70,NA())</f>
        <v>#N/A</v>
      </c>
      <c r="X70" s="10">
        <f>IF(Calculations!A70&gt;=(DesiredRetirementAge-1),H70,NA())</f>
        <v>1040426.8696548144</v>
      </c>
      <c r="Y70" s="10"/>
      <c r="AA70" s="10">
        <f t="shared" si="1"/>
        <v>1067876.3703726863</v>
      </c>
    </row>
    <row r="71" spans="1:27" x14ac:dyDescent="0.15">
      <c r="A71" s="6">
        <f>IFERROR(Age,"")</f>
        <v>80</v>
      </c>
      <c r="B71" s="10">
        <f>IFERROR(Salary,"")</f>
        <v>0</v>
      </c>
      <c r="C71" s="10">
        <f>IFERROR(Balance,"")</f>
        <v>1040426.8696548144</v>
      </c>
      <c r="D71" s="10">
        <f>IFERROR(Interest,"")</f>
        <v>46819.209134466648</v>
      </c>
      <c r="E71" s="10">
        <f>IFERROR(YearlySavings,"")</f>
        <v>0</v>
      </c>
      <c r="F71" s="10">
        <f>IFERROR(DesiredRetirementIncome,"")</f>
        <v>64819.671505207254</v>
      </c>
      <c r="G71" s="10">
        <f>IFERROR(PensionIncome,"")</f>
        <v>42000</v>
      </c>
      <c r="H71" s="10">
        <f>IFERROR(EndBalance,"")</f>
        <v>1064426.4072840738</v>
      </c>
      <c r="I71" s="10">
        <f>IFERROR(Balance_Under,"")</f>
        <v>616861.60398817412</v>
      </c>
      <c r="J71" s="10">
        <f>IFERROR(Interest_Under,"")</f>
        <v>21590.156139586092</v>
      </c>
      <c r="K71" s="10">
        <f>IFERROR(YearlySavings_Under,"")</f>
        <v>0</v>
      </c>
      <c r="L71" s="10">
        <f>IFERROR(DesiredRetirementIncome,"")</f>
        <v>64819.671505207254</v>
      </c>
      <c r="M71" s="10">
        <f>IFERROR(PensionIncome_Under,"")</f>
        <v>42000</v>
      </c>
      <c r="N71" s="10">
        <f>IFERROR(EndBalance,"")</f>
        <v>615632.08862255304</v>
      </c>
      <c r="O71" s="10">
        <f>IFERROR(Balance_Over,"")</f>
        <v>1684737.9743608604</v>
      </c>
      <c r="P71" s="10">
        <f>IFERROR(Interest_Over,"")</f>
        <v>92660.588589847321</v>
      </c>
      <c r="Q71" s="10">
        <f>IFERROR(YearlySavings_Over,"")</f>
        <v>0</v>
      </c>
      <c r="R71" s="10">
        <f>IFERROR(DesiredRetirementIncome,"")</f>
        <v>64819.671505207254</v>
      </c>
      <c r="S71" s="10">
        <f>IFERROR(PensionIncome_Over,"")</f>
        <v>42000</v>
      </c>
      <c r="T71" s="10">
        <f>IFERROR(EndBalance,"")</f>
        <v>1754578.8914455005</v>
      </c>
      <c r="W71" s="10" t="e">
        <f>IF(Calculations!A71&lt;DesiredRetirementAge,H71,NA())</f>
        <v>#N/A</v>
      </c>
      <c r="X71" s="10">
        <f>IF(Calculations!A71&gt;=(DesiredRetirementAge-1),H71,NA())</f>
        <v>1064426.4072840738</v>
      </c>
      <c r="Y71" s="10"/>
      <c r="AA71" s="10">
        <f t="shared" si="1"/>
        <v>1138946.8028229475</v>
      </c>
    </row>
    <row r="72" spans="1:27" x14ac:dyDescent="0.15">
      <c r="A72" s="6">
        <f>IFERROR(Age,"")</f>
        <v>81</v>
      </c>
      <c r="B72" s="10">
        <f>IFERROR(Salary,"")</f>
        <v>0</v>
      </c>
      <c r="C72" s="10">
        <f>IFERROR(Balance,"")</f>
        <v>1064426.4072840738</v>
      </c>
      <c r="D72" s="10">
        <f>IFERROR(Interest,"")</f>
        <v>47899.188327783319</v>
      </c>
      <c r="E72" s="10">
        <f>IFERROR(YearlySavings,"")</f>
        <v>0</v>
      </c>
      <c r="F72" s="10">
        <f>IFERROR(DesiredRetirementIncome,"")</f>
        <v>65467.868220259341</v>
      </c>
      <c r="G72" s="10">
        <f>IFERROR(PensionIncome,"")</f>
        <v>42000</v>
      </c>
      <c r="H72" s="10">
        <f>IFERROR(EndBalance,"")</f>
        <v>1088857.7273915978</v>
      </c>
      <c r="I72" s="10">
        <f>IFERROR(Balance_Under,"")</f>
        <v>615632.08862255304</v>
      </c>
      <c r="J72" s="10">
        <f>IFERROR(Interest_Under,"")</f>
        <v>21547.123101789355</v>
      </c>
      <c r="K72" s="10">
        <f>IFERROR(YearlySavings_Under,"")</f>
        <v>0</v>
      </c>
      <c r="L72" s="10">
        <f>IFERROR(DesiredRetirementIncome,"")</f>
        <v>65467.868220259341</v>
      </c>
      <c r="M72" s="10">
        <f>IFERROR(PensionIncome_Under,"")</f>
        <v>42000</v>
      </c>
      <c r="N72" s="10">
        <f>IFERROR(EndBalance,"")</f>
        <v>613711.34350408311</v>
      </c>
      <c r="O72" s="10">
        <f>IFERROR(Balance_Over,"")</f>
        <v>1754578.8914455005</v>
      </c>
      <c r="P72" s="10">
        <f>IFERROR(Interest_Over,"")</f>
        <v>96501.839029502531</v>
      </c>
      <c r="Q72" s="10">
        <f>IFERROR(YearlySavings_Over,"")</f>
        <v>0</v>
      </c>
      <c r="R72" s="10">
        <f>IFERROR(DesiredRetirementIncome,"")</f>
        <v>65467.868220259341</v>
      </c>
      <c r="S72" s="10">
        <f>IFERROR(PensionIncome_Over,"")</f>
        <v>42000</v>
      </c>
      <c r="T72" s="10">
        <f>IFERROR(EndBalance,"")</f>
        <v>1827612.8622547437</v>
      </c>
      <c r="W72" s="10" t="e">
        <f>IF(Calculations!A72&lt;DesiredRetirementAge,H72,NA())</f>
        <v>#N/A</v>
      </c>
      <c r="X72" s="10">
        <f>IF(Calculations!A72&gt;=(DesiredRetirementAge-1),H72,NA())</f>
        <v>1088857.7273915978</v>
      </c>
      <c r="Y72" s="10"/>
      <c r="AA72" s="10">
        <f t="shared" si="1"/>
        <v>1213901.5187506606</v>
      </c>
    </row>
    <row r="73" spans="1:27" x14ac:dyDescent="0.15">
      <c r="A73" s="6">
        <f>IFERROR(Age,"")</f>
        <v>82</v>
      </c>
      <c r="B73" s="10">
        <f>IFERROR(Salary,"")</f>
        <v>0</v>
      </c>
      <c r="C73" s="10">
        <f>IFERROR(Balance,"")</f>
        <v>1088857.7273915978</v>
      </c>
      <c r="D73" s="10">
        <f>IFERROR(Interest,"")</f>
        <v>48998.5977326219</v>
      </c>
      <c r="E73" s="10">
        <f>IFERROR(YearlySavings,"")</f>
        <v>0</v>
      </c>
      <c r="F73" s="10">
        <f>IFERROR(DesiredRetirementIncome,"")</f>
        <v>66122.546902461938</v>
      </c>
      <c r="G73" s="10">
        <f>IFERROR(PensionIncome,"")</f>
        <v>42000</v>
      </c>
      <c r="H73" s="10">
        <f>IFERROR(EndBalance,"")</f>
        <v>1113733.7782217578</v>
      </c>
      <c r="I73" s="10">
        <f>IFERROR(Balance_Under,"")</f>
        <v>613711.34350408311</v>
      </c>
      <c r="J73" s="10">
        <f>IFERROR(Interest_Under,"")</f>
        <v>21479.897022642908</v>
      </c>
      <c r="K73" s="10">
        <f>IFERROR(YearlySavings_Under,"")</f>
        <v>0</v>
      </c>
      <c r="L73" s="10">
        <f>IFERROR(DesiredRetirementIncome,"")</f>
        <v>66122.546902461938</v>
      </c>
      <c r="M73" s="10">
        <f>IFERROR(PensionIncome_Under,"")</f>
        <v>42000</v>
      </c>
      <c r="N73" s="10">
        <f>IFERROR(EndBalance,"")</f>
        <v>611068.69362426409</v>
      </c>
      <c r="O73" s="10">
        <f>IFERROR(Balance_Over,"")</f>
        <v>1827612.8622547437</v>
      </c>
      <c r="P73" s="10">
        <f>IFERROR(Interest_Over,"")</f>
        <v>100518.70742401091</v>
      </c>
      <c r="Q73" s="10">
        <f>IFERROR(YearlySavings_Over,"")</f>
        <v>0</v>
      </c>
      <c r="R73" s="10">
        <f>IFERROR(DesiredRetirementIncome,"")</f>
        <v>66122.546902461938</v>
      </c>
      <c r="S73" s="10">
        <f>IFERROR(PensionIncome_Over,"")</f>
        <v>42000</v>
      </c>
      <c r="T73" s="10">
        <f>IFERROR(EndBalance,"")</f>
        <v>1904009.0227762926</v>
      </c>
      <c r="W73" s="10" t="e">
        <f>IF(Calculations!A73&lt;DesiredRetirementAge,H73,NA())</f>
        <v>#N/A</v>
      </c>
      <c r="X73" s="10">
        <f>IF(Calculations!A73&gt;=(DesiredRetirementAge-1),H73,NA())</f>
        <v>1113733.7782217578</v>
      </c>
      <c r="Y73" s="10"/>
      <c r="AA73" s="10">
        <f t="shared" si="1"/>
        <v>1292940.3291520285</v>
      </c>
    </row>
    <row r="74" spans="1:27" x14ac:dyDescent="0.15">
      <c r="A74" s="6">
        <f>IFERROR(Age,"")</f>
        <v>83</v>
      </c>
      <c r="B74" s="10">
        <f>IFERROR(Salary,"")</f>
        <v>0</v>
      </c>
      <c r="C74" s="10">
        <f>IFERROR(Balance,"")</f>
        <v>1113733.7782217578</v>
      </c>
      <c r="D74" s="10">
        <f>IFERROR(Interest,"")</f>
        <v>50118.0200199791</v>
      </c>
      <c r="E74" s="10">
        <f>IFERROR(YearlySavings,"")</f>
        <v>0</v>
      </c>
      <c r="F74" s="10">
        <f>IFERROR(DesiredRetirementIncome,"")</f>
        <v>66783.772371486557</v>
      </c>
      <c r="G74" s="10">
        <f>IFERROR(PensionIncome,"")</f>
        <v>42000</v>
      </c>
      <c r="H74" s="10">
        <f>IFERROR(EndBalance,"")</f>
        <v>1139068.0258702503</v>
      </c>
      <c r="I74" s="10">
        <f>IFERROR(Balance_Under,"")</f>
        <v>611068.69362426409</v>
      </c>
      <c r="J74" s="10">
        <f>IFERROR(Interest_Under,"")</f>
        <v>21387.40427684924</v>
      </c>
      <c r="K74" s="10">
        <f>IFERROR(YearlySavings_Under,"")</f>
        <v>0</v>
      </c>
      <c r="L74" s="10">
        <f>IFERROR(DesiredRetirementIncome,"")</f>
        <v>66783.772371486557</v>
      </c>
      <c r="M74" s="10">
        <f>IFERROR(PensionIncome_Under,"")</f>
        <v>42000</v>
      </c>
      <c r="N74" s="10">
        <f>IFERROR(EndBalance,"")</f>
        <v>607672.3255296268</v>
      </c>
      <c r="O74" s="10">
        <f>IFERROR(Balance_Over,"")</f>
        <v>1904009.0227762926</v>
      </c>
      <c r="P74" s="10">
        <f>IFERROR(Interest_Over,"")</f>
        <v>104720.4962526961</v>
      </c>
      <c r="Q74" s="10">
        <f>IFERROR(YearlySavings_Over,"")</f>
        <v>0</v>
      </c>
      <c r="R74" s="10">
        <f>IFERROR(DesiredRetirementIncome,"")</f>
        <v>66783.772371486557</v>
      </c>
      <c r="S74" s="10">
        <f>IFERROR(PensionIncome_Over,"")</f>
        <v>42000</v>
      </c>
      <c r="T74" s="10">
        <f>IFERROR(EndBalance,"")</f>
        <v>1983945.7466575021</v>
      </c>
      <c r="W74" s="10" t="e">
        <f>IF(Calculations!A74&lt;DesiredRetirementAge,H74,NA())</f>
        <v>#N/A</v>
      </c>
      <c r="X74" s="10">
        <f>IF(Calculations!A74&gt;=(DesiredRetirementAge-1),H74,NA())</f>
        <v>1139068.0258702503</v>
      </c>
      <c r="Y74" s="10"/>
      <c r="AA74" s="10">
        <f t="shared" si="1"/>
        <v>1376273.4211278753</v>
      </c>
    </row>
    <row r="75" spans="1:27" x14ac:dyDescent="0.15">
      <c r="A75" s="6">
        <f>IFERROR(Age,"")</f>
        <v>84</v>
      </c>
      <c r="B75" s="10">
        <f>IFERROR(Salary,"")</f>
        <v>0</v>
      </c>
      <c r="C75" s="10">
        <f>IFERROR(Balance,"")</f>
        <v>1139068.0258702503</v>
      </c>
      <c r="D75" s="10">
        <f>IFERROR(Interest,"")</f>
        <v>51258.061164161263</v>
      </c>
      <c r="E75" s="10">
        <f>IFERROR(YearlySavings,"")</f>
        <v>0</v>
      </c>
      <c r="F75" s="10">
        <f>IFERROR(DesiredRetirementIncome,"")</f>
        <v>67451.610095201409</v>
      </c>
      <c r="G75" s="10">
        <f>IFERROR(PensionIncome,"")</f>
        <v>42000</v>
      </c>
      <c r="H75" s="10">
        <f>IFERROR(EndBalance,"")</f>
        <v>1164874.4769392102</v>
      </c>
      <c r="I75" s="10">
        <f>IFERROR(Balance_Under,"")</f>
        <v>607672.3255296268</v>
      </c>
      <c r="J75" s="10">
        <f>IFERROR(Interest_Under,"")</f>
        <v>21268.531393536938</v>
      </c>
      <c r="K75" s="10">
        <f>IFERROR(YearlySavings_Under,"")</f>
        <v>0</v>
      </c>
      <c r="L75" s="10">
        <f>IFERROR(DesiredRetirementIncome,"")</f>
        <v>67451.610095201409</v>
      </c>
      <c r="M75" s="10">
        <f>IFERROR(PensionIncome_Under,"")</f>
        <v>42000</v>
      </c>
      <c r="N75" s="10">
        <f>IFERROR(EndBalance,"")</f>
        <v>603489.24682796234</v>
      </c>
      <c r="O75" s="10">
        <f>IFERROR(Balance_Over,"")</f>
        <v>1983945.7466575021</v>
      </c>
      <c r="P75" s="10">
        <f>IFERROR(Interest_Over,"")</f>
        <v>109117.01606616261</v>
      </c>
      <c r="Q75" s="10">
        <f>IFERROR(YearlySavings_Over,"")</f>
        <v>0</v>
      </c>
      <c r="R75" s="10">
        <f>IFERROR(DesiredRetirementIncome,"")</f>
        <v>67451.610095201409</v>
      </c>
      <c r="S75" s="10">
        <f>IFERROR(PensionIncome_Over,"")</f>
        <v>42000</v>
      </c>
      <c r="T75" s="10">
        <f>IFERROR(EndBalance,"")</f>
        <v>2067611.1526284632</v>
      </c>
      <c r="W75" s="10" t="e">
        <f>IF(Calculations!A75&lt;DesiredRetirementAge,H75,NA())</f>
        <v>#N/A</v>
      </c>
      <c r="X75" s="10">
        <f>IF(Calculations!A75&gt;=(DesiredRetirementAge-1),H75,NA())</f>
        <v>1164874.4769392102</v>
      </c>
      <c r="Y75" s="10"/>
      <c r="AA75" s="10">
        <f t="shared" si="1"/>
        <v>1464121.9058005009</v>
      </c>
    </row>
    <row r="76" spans="1:27" x14ac:dyDescent="0.15">
      <c r="A76" s="6" t="str">
        <f>IFERROR(Age,"")</f>
        <v/>
      </c>
      <c r="B76" s="10" t="str">
        <f>IFERROR(Salary,"")</f>
        <v/>
      </c>
      <c r="C76" s="10" t="str">
        <f>IFERROR(Balance,"")</f>
        <v/>
      </c>
      <c r="D76" s="10" t="str">
        <f>IFERROR(Interest,"")</f>
        <v/>
      </c>
      <c r="E76" s="10" t="str">
        <f>IFERROR(YearlySavings,"")</f>
        <v/>
      </c>
      <c r="F76" s="10" t="str">
        <f>IFERROR(DesiredRetirementIncome,"")</f>
        <v/>
      </c>
      <c r="G76" s="10" t="str">
        <f>IFERROR(PensionIncome,"")</f>
        <v/>
      </c>
      <c r="H76" s="10" t="str">
        <f>IFERROR(EndBalance,"")</f>
        <v/>
      </c>
      <c r="I76" s="10" t="str">
        <f>IFERROR(Balance_Under,"")</f>
        <v/>
      </c>
      <c r="J76" s="10" t="str">
        <f>IFERROR(Interest_Under,"")</f>
        <v/>
      </c>
      <c r="K76" s="10" t="str">
        <f>IFERROR(YearlySavings_Under,"")</f>
        <v/>
      </c>
      <c r="L76" s="10" t="str">
        <f>IFERROR(DesiredRetirementIncome,"")</f>
        <v/>
      </c>
      <c r="M76" s="10" t="str">
        <f>IFERROR(PensionIncome_Under,"")</f>
        <v/>
      </c>
      <c r="N76" s="10" t="str">
        <f>IFERROR(EndBalance,"")</f>
        <v/>
      </c>
      <c r="O76" s="10" t="str">
        <f>IFERROR(Balance_Over,"")</f>
        <v/>
      </c>
      <c r="P76" s="10" t="str">
        <f>IFERROR(Interest_Over,"")</f>
        <v/>
      </c>
      <c r="Q76" s="10" t="str">
        <f>IFERROR(YearlySavings_Over,"")</f>
        <v/>
      </c>
      <c r="R76" s="10" t="str">
        <f>IFERROR(DesiredRetirementIncome,"")</f>
        <v/>
      </c>
      <c r="S76" s="10" t="str">
        <f>IFERROR(PensionIncome_Over,"")</f>
        <v/>
      </c>
      <c r="T76" s="10" t="str">
        <f>IFERROR(EndBalance,"")</f>
        <v/>
      </c>
      <c r="W76" s="10" t="e">
        <f>IF(Calculations!A76&lt;DesiredRetirementAge,H76,NA())</f>
        <v>#N/A</v>
      </c>
      <c r="X76" s="10" t="str">
        <f>IF(Calculations!A76&gt;=(DesiredRetirementAge-1),H76,NA())</f>
        <v/>
      </c>
      <c r="Y76" s="10"/>
      <c r="AA76" s="10" t="e">
        <f t="shared" si="1"/>
        <v>#VALUE!</v>
      </c>
    </row>
    <row r="77" spans="1:27" x14ac:dyDescent="0.15">
      <c r="A77" s="6" t="str">
        <f>IFERROR(Age,"")</f>
        <v/>
      </c>
      <c r="B77" s="10" t="str">
        <f>IFERROR(Salary,"")</f>
        <v/>
      </c>
      <c r="C77" s="10" t="str">
        <f>IFERROR(Balance,"")</f>
        <v/>
      </c>
      <c r="D77" s="10" t="str">
        <f>IFERROR(Interest,"")</f>
        <v/>
      </c>
      <c r="E77" s="10" t="str">
        <f>IFERROR(YearlySavings,"")</f>
        <v/>
      </c>
      <c r="F77" s="10" t="str">
        <f>IFERROR(DesiredRetirementIncome,"")</f>
        <v/>
      </c>
      <c r="G77" s="10" t="str">
        <f>IFERROR(PensionIncome,"")</f>
        <v/>
      </c>
      <c r="H77" s="10" t="str">
        <f>IFERROR(EndBalance,"")</f>
        <v/>
      </c>
      <c r="I77" s="10" t="str">
        <f>IFERROR(Balance_Under,"")</f>
        <v/>
      </c>
      <c r="J77" s="10" t="str">
        <f>IFERROR(Interest_Under,"")</f>
        <v/>
      </c>
      <c r="K77" s="10" t="str">
        <f>IFERROR(YearlySavings_Under,"")</f>
        <v/>
      </c>
      <c r="L77" s="10" t="str">
        <f>IFERROR(DesiredRetirementIncome,"")</f>
        <v/>
      </c>
      <c r="M77" s="10" t="str">
        <f>IFERROR(PensionIncome_Under,"")</f>
        <v/>
      </c>
      <c r="N77" s="10" t="str">
        <f>IFERROR(EndBalance,"")</f>
        <v/>
      </c>
      <c r="O77" s="10" t="str">
        <f>IFERROR(Balance_Over,"")</f>
        <v/>
      </c>
      <c r="P77" s="10" t="str">
        <f>IFERROR(Interest_Over,"")</f>
        <v/>
      </c>
      <c r="Q77" s="10" t="str">
        <f>IFERROR(YearlySavings_Over,"")</f>
        <v/>
      </c>
      <c r="R77" s="10" t="str">
        <f>IFERROR(DesiredRetirementIncome,"")</f>
        <v/>
      </c>
      <c r="S77" s="10" t="str">
        <f>IFERROR(PensionIncome_Over,"")</f>
        <v/>
      </c>
      <c r="T77" s="10" t="str">
        <f>IFERROR(EndBalance,"")</f>
        <v/>
      </c>
      <c r="W77" s="10" t="e">
        <f>IF(Calculations!A77&lt;DesiredRetirementAge,H77,NA())</f>
        <v>#N/A</v>
      </c>
      <c r="X77" s="10" t="str">
        <f>IF(Calculations!A77&gt;=(DesiredRetirementAge-1),H77,NA())</f>
        <v/>
      </c>
      <c r="Y77" s="10"/>
      <c r="AA77" s="10" t="e">
        <f t="shared" si="1"/>
        <v>#VALUE!</v>
      </c>
    </row>
    <row r="78" spans="1:27" x14ac:dyDescent="0.15">
      <c r="A78" s="6" t="str">
        <f>IFERROR(Age,"")</f>
        <v/>
      </c>
      <c r="B78" s="10" t="str">
        <f>IFERROR(Salary,"")</f>
        <v/>
      </c>
      <c r="C78" s="10" t="str">
        <f>IFERROR(Balance,"")</f>
        <v/>
      </c>
      <c r="D78" s="10" t="str">
        <f>IFERROR(Interest,"")</f>
        <v/>
      </c>
      <c r="E78" s="10" t="str">
        <f>IFERROR(YearlySavings,"")</f>
        <v/>
      </c>
      <c r="F78" s="10" t="str">
        <f>IFERROR(DesiredRetirementIncome,"")</f>
        <v/>
      </c>
      <c r="G78" s="10" t="str">
        <f>IFERROR(PensionIncome,"")</f>
        <v/>
      </c>
      <c r="H78" s="10" t="str">
        <f>IFERROR(EndBalance,"")</f>
        <v/>
      </c>
      <c r="I78" s="10" t="str">
        <f>IFERROR(Balance_Under,"")</f>
        <v/>
      </c>
      <c r="J78" s="10" t="str">
        <f>IFERROR(Interest_Under,"")</f>
        <v/>
      </c>
      <c r="K78" s="10" t="str">
        <f>IFERROR(YearlySavings_Under,"")</f>
        <v/>
      </c>
      <c r="L78" s="10" t="str">
        <f>IFERROR(DesiredRetirementIncome,"")</f>
        <v/>
      </c>
      <c r="M78" s="10" t="str">
        <f>IFERROR(PensionIncome_Under,"")</f>
        <v/>
      </c>
      <c r="N78" s="10" t="str">
        <f>IFERROR(EndBalance,"")</f>
        <v/>
      </c>
      <c r="O78" s="10" t="str">
        <f>IFERROR(Balance_Over,"")</f>
        <v/>
      </c>
      <c r="P78" s="10" t="str">
        <f>IFERROR(Interest_Over,"")</f>
        <v/>
      </c>
      <c r="Q78" s="10" t="str">
        <f>IFERROR(YearlySavings_Over,"")</f>
        <v/>
      </c>
      <c r="R78" s="10" t="str">
        <f>IFERROR(DesiredRetirementIncome,"")</f>
        <v/>
      </c>
      <c r="S78" s="10" t="str">
        <f>IFERROR(PensionIncome_Over,"")</f>
        <v/>
      </c>
      <c r="T78" s="10" t="str">
        <f>IFERROR(EndBalance,"")</f>
        <v/>
      </c>
      <c r="W78" s="10" t="e">
        <f>IF(Calculations!A78&lt;DesiredRetirementAge,H78,NA())</f>
        <v>#N/A</v>
      </c>
      <c r="X78" s="10" t="str">
        <f>IF(Calculations!A78&gt;=(DesiredRetirementAge-1),H78,NA())</f>
        <v/>
      </c>
      <c r="Y78" s="10"/>
      <c r="AA78" s="10" t="e">
        <f t="shared" si="1"/>
        <v>#VALUE!</v>
      </c>
    </row>
    <row r="79" spans="1:27" x14ac:dyDescent="0.15">
      <c r="A79" s="6" t="str">
        <f>IFERROR(Age,"")</f>
        <v/>
      </c>
      <c r="B79" s="10" t="str">
        <f>IFERROR(Salary,"")</f>
        <v/>
      </c>
      <c r="C79" s="10" t="str">
        <f>IFERROR(Balance,"")</f>
        <v/>
      </c>
      <c r="D79" s="10" t="str">
        <f>IFERROR(Interest,"")</f>
        <v/>
      </c>
      <c r="E79" s="10" t="str">
        <f>IFERROR(YearlySavings,"")</f>
        <v/>
      </c>
      <c r="F79" s="10" t="str">
        <f>IFERROR(DesiredRetirementIncome,"")</f>
        <v/>
      </c>
      <c r="G79" s="10" t="str">
        <f>IFERROR(PensionIncome,"")</f>
        <v/>
      </c>
      <c r="H79" s="10" t="str">
        <f>IFERROR(EndBalance,"")</f>
        <v/>
      </c>
      <c r="I79" s="10" t="str">
        <f>IFERROR(Balance_Under,"")</f>
        <v/>
      </c>
      <c r="J79" s="10" t="str">
        <f>IFERROR(Interest_Under,"")</f>
        <v/>
      </c>
      <c r="K79" s="10" t="str">
        <f>IFERROR(YearlySavings_Under,"")</f>
        <v/>
      </c>
      <c r="L79" s="10" t="str">
        <f>IFERROR(DesiredRetirementIncome,"")</f>
        <v/>
      </c>
      <c r="M79" s="10" t="str">
        <f>IFERROR(PensionIncome_Under,"")</f>
        <v/>
      </c>
      <c r="N79" s="10" t="str">
        <f>IFERROR(EndBalance,"")</f>
        <v/>
      </c>
      <c r="O79" s="10" t="str">
        <f>IFERROR(Balance_Over,"")</f>
        <v/>
      </c>
      <c r="P79" s="10" t="str">
        <f>IFERROR(Interest_Over,"")</f>
        <v/>
      </c>
      <c r="Q79" s="10" t="str">
        <f>IFERROR(YearlySavings_Over,"")</f>
        <v/>
      </c>
      <c r="R79" s="10" t="str">
        <f>IFERROR(DesiredRetirementIncome,"")</f>
        <v/>
      </c>
      <c r="S79" s="10" t="str">
        <f>IFERROR(PensionIncome_Over,"")</f>
        <v/>
      </c>
      <c r="T79" s="10" t="str">
        <f>IFERROR(EndBalance,"")</f>
        <v/>
      </c>
      <c r="W79" s="10" t="e">
        <f>IF(Calculations!A79&lt;DesiredRetirementAge,H79,NA())</f>
        <v>#N/A</v>
      </c>
      <c r="X79" s="10" t="str">
        <f>IF(Calculations!A79&gt;=(DesiredRetirementAge-1),H79,NA())</f>
        <v/>
      </c>
      <c r="Y79" s="10"/>
      <c r="AA79" s="10" t="e">
        <f t="shared" si="1"/>
        <v>#VALUE!</v>
      </c>
    </row>
    <row r="80" spans="1:27" x14ac:dyDescent="0.15">
      <c r="A80" s="6" t="str">
        <f>IFERROR(Age,"")</f>
        <v/>
      </c>
      <c r="B80" s="10" t="str">
        <f>IFERROR(Salary,"")</f>
        <v/>
      </c>
      <c r="C80" s="10" t="str">
        <f>IFERROR(Balance,"")</f>
        <v/>
      </c>
      <c r="D80" s="10" t="str">
        <f>IFERROR(Interest,"")</f>
        <v/>
      </c>
      <c r="E80" s="10" t="str">
        <f>IFERROR(YearlySavings,"")</f>
        <v/>
      </c>
      <c r="F80" s="10" t="str">
        <f>IFERROR(DesiredRetirementIncome,"")</f>
        <v/>
      </c>
      <c r="G80" s="10" t="str">
        <f>IFERROR(PensionIncome,"")</f>
        <v/>
      </c>
      <c r="H80" s="10" t="str">
        <f>IFERROR(EndBalance,"")</f>
        <v/>
      </c>
      <c r="I80" s="10" t="str">
        <f>IFERROR(Balance_Under,"")</f>
        <v/>
      </c>
      <c r="J80" s="10" t="str">
        <f>IFERROR(Interest_Under,"")</f>
        <v/>
      </c>
      <c r="K80" s="10" t="str">
        <f>IFERROR(YearlySavings_Under,"")</f>
        <v/>
      </c>
      <c r="L80" s="10" t="str">
        <f>IFERROR(DesiredRetirementIncome,"")</f>
        <v/>
      </c>
      <c r="M80" s="10" t="str">
        <f>IFERROR(PensionIncome_Under,"")</f>
        <v/>
      </c>
      <c r="N80" s="10" t="str">
        <f>IFERROR(EndBalance,"")</f>
        <v/>
      </c>
      <c r="O80" s="10" t="str">
        <f>IFERROR(Balance_Over,"")</f>
        <v/>
      </c>
      <c r="P80" s="10" t="str">
        <f>IFERROR(Interest_Over,"")</f>
        <v/>
      </c>
      <c r="Q80" s="10" t="str">
        <f>IFERROR(YearlySavings_Over,"")</f>
        <v/>
      </c>
      <c r="R80" s="10" t="str">
        <f>IFERROR(DesiredRetirementIncome,"")</f>
        <v/>
      </c>
      <c r="S80" s="10" t="str">
        <f>IFERROR(PensionIncome_Over,"")</f>
        <v/>
      </c>
      <c r="T80" s="10" t="str">
        <f>IFERROR(EndBalance,"")</f>
        <v/>
      </c>
      <c r="W80" s="10" t="e">
        <f>IF(Calculations!A80&lt;DesiredRetirementAge,H80,NA())</f>
        <v>#N/A</v>
      </c>
      <c r="X80" s="10" t="str">
        <f>IF(Calculations!A80&gt;=(DesiredRetirementAge-1),H80,NA())</f>
        <v/>
      </c>
      <c r="Y80" s="10"/>
      <c r="AA80" s="10" t="e">
        <f t="shared" ref="AA80:AA115" si="2">T80-N80</f>
        <v>#VALUE!</v>
      </c>
    </row>
    <row r="81" spans="1:27" x14ac:dyDescent="0.15">
      <c r="A81" s="6" t="str">
        <f>IFERROR(Age,"")</f>
        <v/>
      </c>
      <c r="B81" s="10" t="str">
        <f>IFERROR(Salary,"")</f>
        <v/>
      </c>
      <c r="C81" s="10" t="str">
        <f>IFERROR(Balance,"")</f>
        <v/>
      </c>
      <c r="D81" s="10" t="str">
        <f>IFERROR(Interest,"")</f>
        <v/>
      </c>
      <c r="E81" s="10" t="str">
        <f>IFERROR(YearlySavings,"")</f>
        <v/>
      </c>
      <c r="F81" s="10" t="str">
        <f>IFERROR(DesiredRetirementIncome,"")</f>
        <v/>
      </c>
      <c r="G81" s="10" t="str">
        <f>IFERROR(PensionIncome,"")</f>
        <v/>
      </c>
      <c r="H81" s="10" t="str">
        <f>IFERROR(EndBalance,"")</f>
        <v/>
      </c>
      <c r="I81" s="10" t="str">
        <f>IFERROR(Balance_Under,"")</f>
        <v/>
      </c>
      <c r="J81" s="10" t="str">
        <f>IFERROR(Interest_Under,"")</f>
        <v/>
      </c>
      <c r="K81" s="10" t="str">
        <f>IFERROR(YearlySavings_Under,"")</f>
        <v/>
      </c>
      <c r="L81" s="10" t="str">
        <f>IFERROR(DesiredRetirementIncome,"")</f>
        <v/>
      </c>
      <c r="M81" s="10" t="str">
        <f>IFERROR(PensionIncome_Under,"")</f>
        <v/>
      </c>
      <c r="N81" s="10" t="str">
        <f>IFERROR(EndBalance,"")</f>
        <v/>
      </c>
      <c r="O81" s="10" t="str">
        <f>IFERROR(Balance_Over,"")</f>
        <v/>
      </c>
      <c r="P81" s="10" t="str">
        <f>IFERROR(Interest_Over,"")</f>
        <v/>
      </c>
      <c r="Q81" s="10" t="str">
        <f>IFERROR(YearlySavings_Over,"")</f>
        <v/>
      </c>
      <c r="R81" s="10" t="str">
        <f>IFERROR(DesiredRetirementIncome,"")</f>
        <v/>
      </c>
      <c r="S81" s="10" t="str">
        <f>IFERROR(PensionIncome_Over,"")</f>
        <v/>
      </c>
      <c r="T81" s="10" t="str">
        <f>IFERROR(EndBalance,"")</f>
        <v/>
      </c>
      <c r="W81" s="10" t="e">
        <f>IF(Calculations!A81&lt;DesiredRetirementAge,H81,NA())</f>
        <v>#N/A</v>
      </c>
      <c r="X81" s="10" t="str">
        <f>IF(Calculations!A81&gt;=(DesiredRetirementAge-1),H81,NA())</f>
        <v/>
      </c>
      <c r="Y81" s="10"/>
      <c r="AA81" s="10" t="e">
        <f t="shared" si="2"/>
        <v>#VALUE!</v>
      </c>
    </row>
    <row r="82" spans="1:27" x14ac:dyDescent="0.15">
      <c r="A82" s="6" t="str">
        <f>IFERROR(Age,"")</f>
        <v/>
      </c>
      <c r="B82" s="10" t="str">
        <f>IFERROR(Salary,"")</f>
        <v/>
      </c>
      <c r="C82" s="10" t="str">
        <f>IFERROR(Balance,"")</f>
        <v/>
      </c>
      <c r="D82" s="10" t="str">
        <f>IFERROR(Interest,"")</f>
        <v/>
      </c>
      <c r="E82" s="10" t="str">
        <f>IFERROR(YearlySavings,"")</f>
        <v/>
      </c>
      <c r="F82" s="10" t="str">
        <f>IFERROR(DesiredRetirementIncome,"")</f>
        <v/>
      </c>
      <c r="G82" s="10" t="str">
        <f>IFERROR(PensionIncome,"")</f>
        <v/>
      </c>
      <c r="H82" s="10" t="str">
        <f>IFERROR(EndBalance,"")</f>
        <v/>
      </c>
      <c r="I82" s="10" t="str">
        <f>IFERROR(Balance_Under,"")</f>
        <v/>
      </c>
      <c r="J82" s="10" t="str">
        <f>IFERROR(Interest_Under,"")</f>
        <v/>
      </c>
      <c r="K82" s="10" t="str">
        <f>IFERROR(YearlySavings_Under,"")</f>
        <v/>
      </c>
      <c r="L82" s="10" t="str">
        <f>IFERROR(DesiredRetirementIncome,"")</f>
        <v/>
      </c>
      <c r="M82" s="10" t="str">
        <f>IFERROR(PensionIncome_Under,"")</f>
        <v/>
      </c>
      <c r="N82" s="10" t="str">
        <f>IFERROR(EndBalance,"")</f>
        <v/>
      </c>
      <c r="O82" s="10" t="str">
        <f>IFERROR(Balance_Over,"")</f>
        <v/>
      </c>
      <c r="P82" s="10" t="str">
        <f>IFERROR(Interest_Over,"")</f>
        <v/>
      </c>
      <c r="Q82" s="10" t="str">
        <f>IFERROR(YearlySavings_Over,"")</f>
        <v/>
      </c>
      <c r="R82" s="10" t="str">
        <f>IFERROR(DesiredRetirementIncome,"")</f>
        <v/>
      </c>
      <c r="S82" s="10" t="str">
        <f>IFERROR(PensionIncome_Over,"")</f>
        <v/>
      </c>
      <c r="T82" s="10" t="str">
        <f>IFERROR(EndBalance,"")</f>
        <v/>
      </c>
      <c r="W82" s="10" t="e">
        <f>IF(Calculations!A82&lt;DesiredRetirementAge,H82,NA())</f>
        <v>#N/A</v>
      </c>
      <c r="X82" s="10" t="str">
        <f>IF(Calculations!A82&gt;=(DesiredRetirementAge-1),H82,NA())</f>
        <v/>
      </c>
      <c r="Y82" s="10"/>
      <c r="AA82" s="10" t="e">
        <f t="shared" si="2"/>
        <v>#VALUE!</v>
      </c>
    </row>
    <row r="83" spans="1:27" x14ac:dyDescent="0.15">
      <c r="A83" s="6" t="str">
        <f>IFERROR(Age,"")</f>
        <v/>
      </c>
      <c r="B83" s="10" t="str">
        <f>IFERROR(Salary,"")</f>
        <v/>
      </c>
      <c r="C83" s="10" t="str">
        <f>IFERROR(Balance,"")</f>
        <v/>
      </c>
      <c r="D83" s="10" t="str">
        <f>IFERROR(Interest,"")</f>
        <v/>
      </c>
      <c r="E83" s="10" t="str">
        <f>IFERROR(YearlySavings,"")</f>
        <v/>
      </c>
      <c r="F83" s="10" t="str">
        <f>IFERROR(DesiredRetirementIncome,"")</f>
        <v/>
      </c>
      <c r="G83" s="10" t="str">
        <f>IFERROR(PensionIncome,"")</f>
        <v/>
      </c>
      <c r="H83" s="10" t="str">
        <f>IFERROR(EndBalance,"")</f>
        <v/>
      </c>
      <c r="I83" s="10" t="str">
        <f>IFERROR(Balance_Under,"")</f>
        <v/>
      </c>
      <c r="J83" s="10" t="str">
        <f>IFERROR(Interest_Under,"")</f>
        <v/>
      </c>
      <c r="K83" s="10" t="str">
        <f>IFERROR(YearlySavings_Under,"")</f>
        <v/>
      </c>
      <c r="L83" s="10" t="str">
        <f>IFERROR(DesiredRetirementIncome,"")</f>
        <v/>
      </c>
      <c r="M83" s="10" t="str">
        <f>IFERROR(PensionIncome_Under,"")</f>
        <v/>
      </c>
      <c r="N83" s="10" t="str">
        <f>IFERROR(EndBalance,"")</f>
        <v/>
      </c>
      <c r="O83" s="10" t="str">
        <f>IFERROR(Balance_Over,"")</f>
        <v/>
      </c>
      <c r="P83" s="10" t="str">
        <f>IFERROR(Interest_Over,"")</f>
        <v/>
      </c>
      <c r="Q83" s="10" t="str">
        <f>IFERROR(YearlySavings_Over,"")</f>
        <v/>
      </c>
      <c r="R83" s="10" t="str">
        <f>IFERROR(DesiredRetirementIncome,"")</f>
        <v/>
      </c>
      <c r="S83" s="10" t="str">
        <f>IFERROR(PensionIncome_Over,"")</f>
        <v/>
      </c>
      <c r="T83" s="10" t="str">
        <f>IFERROR(EndBalance,"")</f>
        <v/>
      </c>
      <c r="W83" s="10" t="e">
        <f>IF(Calculations!A83&lt;DesiredRetirementAge,H83,NA())</f>
        <v>#N/A</v>
      </c>
      <c r="X83" s="10" t="str">
        <f>IF(Calculations!A83&gt;=(DesiredRetirementAge-1),H83,NA())</f>
        <v/>
      </c>
      <c r="Y83" s="10"/>
      <c r="AA83" s="10" t="e">
        <f t="shared" si="2"/>
        <v>#VALUE!</v>
      </c>
    </row>
    <row r="84" spans="1:27" x14ac:dyDescent="0.15">
      <c r="A84" s="6" t="str">
        <f>IFERROR(Age,"")</f>
        <v/>
      </c>
      <c r="B84" s="10" t="str">
        <f>IFERROR(Salary,"")</f>
        <v/>
      </c>
      <c r="C84" s="10" t="str">
        <f>IFERROR(Balance,"")</f>
        <v/>
      </c>
      <c r="D84" s="10" t="str">
        <f>IFERROR(Interest,"")</f>
        <v/>
      </c>
      <c r="E84" s="10" t="str">
        <f>IFERROR(YearlySavings,"")</f>
        <v/>
      </c>
      <c r="F84" s="10" t="str">
        <f>IFERROR(DesiredRetirementIncome,"")</f>
        <v/>
      </c>
      <c r="G84" s="10" t="str">
        <f>IFERROR(PensionIncome,"")</f>
        <v/>
      </c>
      <c r="H84" s="10" t="str">
        <f>IFERROR(EndBalance,"")</f>
        <v/>
      </c>
      <c r="I84" s="10" t="str">
        <f>IFERROR(Balance_Under,"")</f>
        <v/>
      </c>
      <c r="J84" s="10" t="str">
        <f>IFERROR(Interest_Under,"")</f>
        <v/>
      </c>
      <c r="K84" s="10" t="str">
        <f>IFERROR(YearlySavings_Under,"")</f>
        <v/>
      </c>
      <c r="L84" s="10" t="str">
        <f>IFERROR(DesiredRetirementIncome,"")</f>
        <v/>
      </c>
      <c r="M84" s="10" t="str">
        <f>IFERROR(PensionIncome_Under,"")</f>
        <v/>
      </c>
      <c r="N84" s="10" t="str">
        <f>IFERROR(EndBalance,"")</f>
        <v/>
      </c>
      <c r="O84" s="10" t="str">
        <f>IFERROR(Balance_Over,"")</f>
        <v/>
      </c>
      <c r="P84" s="10" t="str">
        <f>IFERROR(Interest_Over,"")</f>
        <v/>
      </c>
      <c r="Q84" s="10" t="str">
        <f>IFERROR(YearlySavings_Over,"")</f>
        <v/>
      </c>
      <c r="R84" s="10" t="str">
        <f>IFERROR(DesiredRetirementIncome,"")</f>
        <v/>
      </c>
      <c r="S84" s="10" t="str">
        <f>IFERROR(PensionIncome_Over,"")</f>
        <v/>
      </c>
      <c r="T84" s="10" t="str">
        <f>IFERROR(EndBalance,"")</f>
        <v/>
      </c>
      <c r="W84" s="10" t="e">
        <f>IF(Calculations!A84&lt;DesiredRetirementAge,H84,NA())</f>
        <v>#N/A</v>
      </c>
      <c r="X84" s="10" t="str">
        <f>IF(Calculations!A84&gt;=(DesiredRetirementAge-1),H84,NA())</f>
        <v/>
      </c>
      <c r="Y84" s="10"/>
      <c r="AA84" s="10" t="e">
        <f t="shared" si="2"/>
        <v>#VALUE!</v>
      </c>
    </row>
    <row r="85" spans="1:27" x14ac:dyDescent="0.15">
      <c r="A85" s="6" t="str">
        <f>IFERROR(Age,"")</f>
        <v/>
      </c>
      <c r="B85" s="10" t="str">
        <f>IFERROR(Salary,"")</f>
        <v/>
      </c>
      <c r="C85" s="10" t="str">
        <f>IFERROR(Balance,"")</f>
        <v/>
      </c>
      <c r="D85" s="10" t="str">
        <f>IFERROR(Interest,"")</f>
        <v/>
      </c>
      <c r="E85" s="10" t="str">
        <f>IFERROR(YearlySavings,"")</f>
        <v/>
      </c>
      <c r="F85" s="10" t="str">
        <f>IFERROR(DesiredRetirementIncome,"")</f>
        <v/>
      </c>
      <c r="G85" s="10" t="str">
        <f>IFERROR(PensionIncome,"")</f>
        <v/>
      </c>
      <c r="H85" s="10" t="str">
        <f>IFERROR(EndBalance,"")</f>
        <v/>
      </c>
      <c r="I85" s="10" t="str">
        <f>IFERROR(Balance_Under,"")</f>
        <v/>
      </c>
      <c r="J85" s="10" t="str">
        <f>IFERROR(Interest_Under,"")</f>
        <v/>
      </c>
      <c r="K85" s="10" t="str">
        <f>IFERROR(YearlySavings_Under,"")</f>
        <v/>
      </c>
      <c r="L85" s="10" t="str">
        <f>IFERROR(DesiredRetirementIncome,"")</f>
        <v/>
      </c>
      <c r="M85" s="10" t="str">
        <f>IFERROR(PensionIncome_Under,"")</f>
        <v/>
      </c>
      <c r="N85" s="10" t="str">
        <f>IFERROR(EndBalance,"")</f>
        <v/>
      </c>
      <c r="O85" s="10" t="str">
        <f>IFERROR(Balance_Over,"")</f>
        <v/>
      </c>
      <c r="P85" s="10" t="str">
        <f>IFERROR(Interest_Over,"")</f>
        <v/>
      </c>
      <c r="Q85" s="10" t="str">
        <f>IFERROR(YearlySavings_Over,"")</f>
        <v/>
      </c>
      <c r="R85" s="10" t="str">
        <f>IFERROR(DesiredRetirementIncome,"")</f>
        <v/>
      </c>
      <c r="S85" s="10" t="str">
        <f>IFERROR(PensionIncome_Over,"")</f>
        <v/>
      </c>
      <c r="T85" s="10" t="str">
        <f>IFERROR(EndBalance,"")</f>
        <v/>
      </c>
      <c r="W85" s="10" t="e">
        <f>IF(Calculations!A85&lt;DesiredRetirementAge,H85,NA())</f>
        <v>#N/A</v>
      </c>
      <c r="X85" s="10" t="str">
        <f>IF(Calculations!A85&gt;=(DesiredRetirementAge-1),H85,NA())</f>
        <v/>
      </c>
      <c r="Y85" s="10"/>
      <c r="AA85" s="10" t="e">
        <f t="shared" si="2"/>
        <v>#VALUE!</v>
      </c>
    </row>
    <row r="86" spans="1:27" x14ac:dyDescent="0.15">
      <c r="A86" s="6" t="str">
        <f>IFERROR(Age,"")</f>
        <v/>
      </c>
      <c r="B86" s="10" t="str">
        <f>IFERROR(Salary,"")</f>
        <v/>
      </c>
      <c r="C86" s="10" t="str">
        <f>IFERROR(Balance,"")</f>
        <v/>
      </c>
      <c r="D86" s="10" t="str">
        <f>IFERROR(Interest,"")</f>
        <v/>
      </c>
      <c r="E86" s="10" t="str">
        <f>IFERROR(YearlySavings,"")</f>
        <v/>
      </c>
      <c r="F86" s="10" t="str">
        <f>IFERROR(DesiredRetirementIncome,"")</f>
        <v/>
      </c>
      <c r="G86" s="10" t="str">
        <f>IFERROR(PensionIncome,"")</f>
        <v/>
      </c>
      <c r="H86" s="10" t="str">
        <f>IFERROR(EndBalance,"")</f>
        <v/>
      </c>
      <c r="I86" s="10" t="str">
        <f>IFERROR(Balance_Under,"")</f>
        <v/>
      </c>
      <c r="J86" s="10" t="str">
        <f>IFERROR(Interest_Under,"")</f>
        <v/>
      </c>
      <c r="K86" s="10" t="str">
        <f>IFERROR(YearlySavings_Under,"")</f>
        <v/>
      </c>
      <c r="L86" s="10" t="str">
        <f>IFERROR(DesiredRetirementIncome,"")</f>
        <v/>
      </c>
      <c r="M86" s="10" t="str">
        <f>IFERROR(PensionIncome_Under,"")</f>
        <v/>
      </c>
      <c r="N86" s="10" t="str">
        <f>IFERROR(EndBalance,"")</f>
        <v/>
      </c>
      <c r="O86" s="10" t="str">
        <f>IFERROR(Balance_Over,"")</f>
        <v/>
      </c>
      <c r="P86" s="10" t="str">
        <f>IFERROR(Interest_Over,"")</f>
        <v/>
      </c>
      <c r="Q86" s="10" t="str">
        <f>IFERROR(YearlySavings_Over,"")</f>
        <v/>
      </c>
      <c r="R86" s="10" t="str">
        <f>IFERROR(DesiredRetirementIncome,"")</f>
        <v/>
      </c>
      <c r="S86" s="10" t="str">
        <f>IFERROR(PensionIncome_Over,"")</f>
        <v/>
      </c>
      <c r="T86" s="10" t="str">
        <f>IFERROR(EndBalance,"")</f>
        <v/>
      </c>
      <c r="W86" s="10" t="e">
        <f>IF(Calculations!A86&lt;DesiredRetirementAge,H86,NA())</f>
        <v>#N/A</v>
      </c>
      <c r="X86" s="10" t="str">
        <f>IF(Calculations!A86&gt;=(DesiredRetirementAge-1),H86,NA())</f>
        <v/>
      </c>
      <c r="Y86" s="10"/>
      <c r="AA86" s="10" t="e">
        <f t="shared" si="2"/>
        <v>#VALUE!</v>
      </c>
    </row>
    <row r="87" spans="1:27" x14ac:dyDescent="0.15">
      <c r="A87" s="6" t="str">
        <f>IFERROR(Age,"")</f>
        <v/>
      </c>
      <c r="B87" s="10" t="str">
        <f>IFERROR(Salary,"")</f>
        <v/>
      </c>
      <c r="C87" s="10" t="str">
        <f>IFERROR(Balance,"")</f>
        <v/>
      </c>
      <c r="D87" s="10" t="str">
        <f>IFERROR(Interest,"")</f>
        <v/>
      </c>
      <c r="E87" s="10" t="str">
        <f>IFERROR(YearlySavings,"")</f>
        <v/>
      </c>
      <c r="F87" s="10" t="str">
        <f>IFERROR(DesiredRetirementIncome,"")</f>
        <v/>
      </c>
      <c r="G87" s="10" t="str">
        <f>IFERROR(PensionIncome,"")</f>
        <v/>
      </c>
      <c r="H87" s="10" t="str">
        <f>IFERROR(EndBalance,"")</f>
        <v/>
      </c>
      <c r="I87" s="10" t="str">
        <f>IFERROR(Balance_Under,"")</f>
        <v/>
      </c>
      <c r="J87" s="10" t="str">
        <f>IFERROR(Interest_Under,"")</f>
        <v/>
      </c>
      <c r="K87" s="10" t="str">
        <f>IFERROR(YearlySavings_Under,"")</f>
        <v/>
      </c>
      <c r="L87" s="10" t="str">
        <f>IFERROR(DesiredRetirementIncome,"")</f>
        <v/>
      </c>
      <c r="M87" s="10" t="str">
        <f>IFERROR(PensionIncome_Under,"")</f>
        <v/>
      </c>
      <c r="N87" s="10" t="str">
        <f>IFERROR(EndBalance,"")</f>
        <v/>
      </c>
      <c r="O87" s="10" t="str">
        <f>IFERROR(Balance_Over,"")</f>
        <v/>
      </c>
      <c r="P87" s="10" t="str">
        <f>IFERROR(Interest_Over,"")</f>
        <v/>
      </c>
      <c r="Q87" s="10" t="str">
        <f>IFERROR(YearlySavings_Over,"")</f>
        <v/>
      </c>
      <c r="R87" s="10" t="str">
        <f>IFERROR(DesiredRetirementIncome,"")</f>
        <v/>
      </c>
      <c r="S87" s="10" t="str">
        <f>IFERROR(PensionIncome_Over,"")</f>
        <v/>
      </c>
      <c r="T87" s="10" t="str">
        <f>IFERROR(EndBalance,"")</f>
        <v/>
      </c>
      <c r="W87" s="10" t="e">
        <f>IF(Calculations!A87&lt;DesiredRetirementAge,H87,NA())</f>
        <v>#N/A</v>
      </c>
      <c r="X87" s="10" t="str">
        <f>IF(Calculations!A87&gt;=(DesiredRetirementAge-1),H87,NA())</f>
        <v/>
      </c>
      <c r="Y87" s="10"/>
      <c r="AA87" s="10" t="e">
        <f t="shared" si="2"/>
        <v>#VALUE!</v>
      </c>
    </row>
    <row r="88" spans="1:27" x14ac:dyDescent="0.15">
      <c r="A88" s="6" t="str">
        <f>IFERROR(Age,"")</f>
        <v/>
      </c>
      <c r="B88" s="10" t="str">
        <f>IFERROR(Salary,"")</f>
        <v/>
      </c>
      <c r="C88" s="10" t="str">
        <f>IFERROR(Balance,"")</f>
        <v/>
      </c>
      <c r="D88" s="10" t="str">
        <f>IFERROR(Interest,"")</f>
        <v/>
      </c>
      <c r="E88" s="10" t="str">
        <f>IFERROR(YearlySavings,"")</f>
        <v/>
      </c>
      <c r="F88" s="10" t="str">
        <f>IFERROR(DesiredRetirementIncome,"")</f>
        <v/>
      </c>
      <c r="G88" s="10" t="str">
        <f>IFERROR(PensionIncome,"")</f>
        <v/>
      </c>
      <c r="H88" s="10" t="str">
        <f>IFERROR(EndBalance,"")</f>
        <v/>
      </c>
      <c r="I88" s="10" t="str">
        <f>IFERROR(Balance_Under,"")</f>
        <v/>
      </c>
      <c r="J88" s="10" t="str">
        <f>IFERROR(Interest_Under,"")</f>
        <v/>
      </c>
      <c r="K88" s="10" t="str">
        <f>IFERROR(YearlySavings_Under,"")</f>
        <v/>
      </c>
      <c r="L88" s="10" t="str">
        <f>IFERROR(DesiredRetirementIncome,"")</f>
        <v/>
      </c>
      <c r="M88" s="10" t="str">
        <f>IFERROR(PensionIncome_Under,"")</f>
        <v/>
      </c>
      <c r="N88" s="10" t="str">
        <f>IFERROR(EndBalance,"")</f>
        <v/>
      </c>
      <c r="O88" s="10" t="str">
        <f>IFERROR(Balance_Over,"")</f>
        <v/>
      </c>
      <c r="P88" s="10" t="str">
        <f>IFERROR(Interest_Over,"")</f>
        <v/>
      </c>
      <c r="Q88" s="10" t="str">
        <f>IFERROR(YearlySavings_Over,"")</f>
        <v/>
      </c>
      <c r="R88" s="10" t="str">
        <f>IFERROR(DesiredRetirementIncome,"")</f>
        <v/>
      </c>
      <c r="S88" s="10" t="str">
        <f>IFERROR(PensionIncome_Over,"")</f>
        <v/>
      </c>
      <c r="T88" s="10" t="str">
        <f>IFERROR(EndBalance,"")</f>
        <v/>
      </c>
      <c r="W88" s="10" t="e">
        <f>IF(Calculations!A88&lt;DesiredRetirementAge,H88,NA())</f>
        <v>#N/A</v>
      </c>
      <c r="X88" s="10" t="str">
        <f>IF(Calculations!A88&gt;=(DesiredRetirementAge-1),H88,NA())</f>
        <v/>
      </c>
      <c r="Y88" s="10"/>
      <c r="AA88" s="10" t="e">
        <f t="shared" si="2"/>
        <v>#VALUE!</v>
      </c>
    </row>
    <row r="89" spans="1:27" x14ac:dyDescent="0.15">
      <c r="A89" s="6" t="str">
        <f>IFERROR(Age,"")</f>
        <v/>
      </c>
      <c r="B89" s="10" t="str">
        <f>IFERROR(Salary,"")</f>
        <v/>
      </c>
      <c r="C89" s="10" t="str">
        <f>IFERROR(Balance,"")</f>
        <v/>
      </c>
      <c r="D89" s="10" t="str">
        <f>IFERROR(Interest,"")</f>
        <v/>
      </c>
      <c r="E89" s="10" t="str">
        <f>IFERROR(YearlySavings,"")</f>
        <v/>
      </c>
      <c r="F89" s="10" t="str">
        <f>IFERROR(DesiredRetirementIncome,"")</f>
        <v/>
      </c>
      <c r="G89" s="10" t="str">
        <f>IFERROR(PensionIncome,"")</f>
        <v/>
      </c>
      <c r="H89" s="10" t="str">
        <f>IFERROR(EndBalance,"")</f>
        <v/>
      </c>
      <c r="I89" s="10" t="str">
        <f>IFERROR(Balance_Under,"")</f>
        <v/>
      </c>
      <c r="J89" s="10" t="str">
        <f>IFERROR(Interest_Under,"")</f>
        <v/>
      </c>
      <c r="K89" s="10" t="str">
        <f>IFERROR(YearlySavings_Under,"")</f>
        <v/>
      </c>
      <c r="L89" s="10" t="str">
        <f>IFERROR(DesiredRetirementIncome,"")</f>
        <v/>
      </c>
      <c r="M89" s="10" t="str">
        <f>IFERROR(PensionIncome_Under,"")</f>
        <v/>
      </c>
      <c r="N89" s="10" t="str">
        <f>IFERROR(EndBalance,"")</f>
        <v/>
      </c>
      <c r="O89" s="10" t="str">
        <f>IFERROR(Balance_Over,"")</f>
        <v/>
      </c>
      <c r="P89" s="10" t="str">
        <f>IFERROR(Interest_Over,"")</f>
        <v/>
      </c>
      <c r="Q89" s="10" t="str">
        <f>IFERROR(YearlySavings_Over,"")</f>
        <v/>
      </c>
      <c r="R89" s="10" t="str">
        <f>IFERROR(DesiredRetirementIncome,"")</f>
        <v/>
      </c>
      <c r="S89" s="10" t="str">
        <f>IFERROR(PensionIncome_Over,"")</f>
        <v/>
      </c>
      <c r="T89" s="10" t="str">
        <f>IFERROR(EndBalance,"")</f>
        <v/>
      </c>
      <c r="W89" s="10" t="e">
        <f>IF(Calculations!A89&lt;DesiredRetirementAge,H89,NA())</f>
        <v>#N/A</v>
      </c>
      <c r="X89" s="10" t="str">
        <f>IF(Calculations!A89&gt;=(DesiredRetirementAge-1),H89,NA())</f>
        <v/>
      </c>
      <c r="Y89" s="10"/>
      <c r="AA89" s="10" t="e">
        <f t="shared" si="2"/>
        <v>#VALUE!</v>
      </c>
    </row>
    <row r="90" spans="1:27" x14ac:dyDescent="0.15">
      <c r="A90" s="6" t="str">
        <f>IFERROR(Age,"")</f>
        <v/>
      </c>
      <c r="B90" s="10" t="str">
        <f>IFERROR(Salary,"")</f>
        <v/>
      </c>
      <c r="C90" s="10" t="str">
        <f>IFERROR(Balance,"")</f>
        <v/>
      </c>
      <c r="D90" s="10" t="str">
        <f>IFERROR(Interest,"")</f>
        <v/>
      </c>
      <c r="E90" s="10" t="str">
        <f>IFERROR(YearlySavings,"")</f>
        <v/>
      </c>
      <c r="F90" s="10" t="str">
        <f>IFERROR(DesiredRetirementIncome,"")</f>
        <v/>
      </c>
      <c r="G90" s="10" t="str">
        <f>IFERROR(PensionIncome,"")</f>
        <v/>
      </c>
      <c r="H90" s="10" t="str">
        <f>IFERROR(EndBalance,"")</f>
        <v/>
      </c>
      <c r="I90" s="10" t="str">
        <f>IFERROR(Balance_Under,"")</f>
        <v/>
      </c>
      <c r="J90" s="10" t="str">
        <f>IFERROR(Interest_Under,"")</f>
        <v/>
      </c>
      <c r="K90" s="10" t="str">
        <f>IFERROR(YearlySavings_Under,"")</f>
        <v/>
      </c>
      <c r="L90" s="10" t="str">
        <f>IFERROR(DesiredRetirementIncome,"")</f>
        <v/>
      </c>
      <c r="M90" s="10" t="str">
        <f>IFERROR(PensionIncome_Under,"")</f>
        <v/>
      </c>
      <c r="N90" s="10" t="str">
        <f>IFERROR(EndBalance,"")</f>
        <v/>
      </c>
      <c r="O90" s="10" t="str">
        <f>IFERROR(Balance_Over,"")</f>
        <v/>
      </c>
      <c r="P90" s="10" t="str">
        <f>IFERROR(Interest_Over,"")</f>
        <v/>
      </c>
      <c r="Q90" s="10" t="str">
        <f>IFERROR(YearlySavings_Over,"")</f>
        <v/>
      </c>
      <c r="R90" s="10" t="str">
        <f>IFERROR(DesiredRetirementIncome,"")</f>
        <v/>
      </c>
      <c r="S90" s="10" t="str">
        <f>IFERROR(PensionIncome_Over,"")</f>
        <v/>
      </c>
      <c r="T90" s="10" t="str">
        <f>IFERROR(EndBalance,"")</f>
        <v/>
      </c>
      <c r="W90" s="10" t="e">
        <f>IF(Calculations!A90&lt;DesiredRetirementAge,H90,NA())</f>
        <v>#N/A</v>
      </c>
      <c r="X90" s="10" t="str">
        <f>IF(Calculations!A90&gt;=(DesiredRetirementAge-1),H90,NA())</f>
        <v/>
      </c>
      <c r="Y90" s="10"/>
      <c r="AA90" s="10" t="e">
        <f t="shared" si="2"/>
        <v>#VALUE!</v>
      </c>
    </row>
    <row r="91" spans="1:27" x14ac:dyDescent="0.15">
      <c r="A91" s="6" t="str">
        <f>IFERROR(Age,"")</f>
        <v/>
      </c>
      <c r="B91" s="10" t="str">
        <f>IFERROR(Salary,"")</f>
        <v/>
      </c>
      <c r="C91" s="10" t="str">
        <f>IFERROR(Balance,"")</f>
        <v/>
      </c>
      <c r="D91" s="10" t="str">
        <f>IFERROR(Interest,"")</f>
        <v/>
      </c>
      <c r="E91" s="10" t="str">
        <f>IFERROR(YearlySavings,"")</f>
        <v/>
      </c>
      <c r="F91" s="10" t="str">
        <f>IFERROR(DesiredRetirementIncome,"")</f>
        <v/>
      </c>
      <c r="G91" s="10" t="str">
        <f>IFERROR(PensionIncome,"")</f>
        <v/>
      </c>
      <c r="H91" s="10" t="str">
        <f>IFERROR(EndBalance,"")</f>
        <v/>
      </c>
      <c r="I91" s="10" t="str">
        <f>IFERROR(Balance_Under,"")</f>
        <v/>
      </c>
      <c r="J91" s="10" t="str">
        <f>IFERROR(Interest_Under,"")</f>
        <v/>
      </c>
      <c r="K91" s="10" t="str">
        <f>IFERROR(YearlySavings_Under,"")</f>
        <v/>
      </c>
      <c r="L91" s="10" t="str">
        <f>IFERROR(DesiredRetirementIncome,"")</f>
        <v/>
      </c>
      <c r="M91" s="10" t="str">
        <f>IFERROR(PensionIncome_Under,"")</f>
        <v/>
      </c>
      <c r="N91" s="10" t="str">
        <f>IFERROR(EndBalance,"")</f>
        <v/>
      </c>
      <c r="O91" s="10" t="str">
        <f>IFERROR(Balance_Over,"")</f>
        <v/>
      </c>
      <c r="P91" s="10" t="str">
        <f>IFERROR(Interest_Over,"")</f>
        <v/>
      </c>
      <c r="Q91" s="10" t="str">
        <f>IFERROR(YearlySavings_Over,"")</f>
        <v/>
      </c>
      <c r="R91" s="10" t="str">
        <f>IFERROR(DesiredRetirementIncome,"")</f>
        <v/>
      </c>
      <c r="S91" s="10" t="str">
        <f>IFERROR(PensionIncome_Over,"")</f>
        <v/>
      </c>
      <c r="T91" s="10" t="str">
        <f>IFERROR(EndBalance,"")</f>
        <v/>
      </c>
      <c r="W91" s="10" t="e">
        <f>IF(Calculations!A91&lt;DesiredRetirementAge,H91,NA())</f>
        <v>#N/A</v>
      </c>
      <c r="X91" s="10" t="str">
        <f>IF(Calculations!A91&gt;=(DesiredRetirementAge-1),H91,NA())</f>
        <v/>
      </c>
      <c r="Y91" s="10"/>
      <c r="AA91" s="10" t="e">
        <f t="shared" si="2"/>
        <v>#VALUE!</v>
      </c>
    </row>
    <row r="92" spans="1:27" x14ac:dyDescent="0.15">
      <c r="A92" s="6" t="str">
        <f>IFERROR(Age,"")</f>
        <v/>
      </c>
      <c r="B92" s="10" t="str">
        <f>IFERROR(Salary,"")</f>
        <v/>
      </c>
      <c r="C92" s="10" t="str">
        <f>IFERROR(Balance,"")</f>
        <v/>
      </c>
      <c r="D92" s="10" t="str">
        <f>IFERROR(Interest,"")</f>
        <v/>
      </c>
      <c r="E92" s="10" t="str">
        <f>IFERROR(YearlySavings,"")</f>
        <v/>
      </c>
      <c r="F92" s="10" t="str">
        <f>IFERROR(DesiredRetirementIncome,"")</f>
        <v/>
      </c>
      <c r="G92" s="10" t="str">
        <f>IFERROR(PensionIncome,"")</f>
        <v/>
      </c>
      <c r="H92" s="10" t="str">
        <f>IFERROR(EndBalance,"")</f>
        <v/>
      </c>
      <c r="I92" s="10" t="str">
        <f>IFERROR(Balance_Under,"")</f>
        <v/>
      </c>
      <c r="J92" s="10" t="str">
        <f>IFERROR(Interest_Under,"")</f>
        <v/>
      </c>
      <c r="K92" s="10" t="str">
        <f>IFERROR(YearlySavings_Under,"")</f>
        <v/>
      </c>
      <c r="L92" s="10" t="str">
        <f>IFERROR(DesiredRetirementIncome,"")</f>
        <v/>
      </c>
      <c r="M92" s="10" t="str">
        <f>IFERROR(PensionIncome_Under,"")</f>
        <v/>
      </c>
      <c r="N92" s="10" t="str">
        <f>IFERROR(EndBalance,"")</f>
        <v/>
      </c>
      <c r="O92" s="10" t="str">
        <f>IFERROR(Balance_Over,"")</f>
        <v/>
      </c>
      <c r="P92" s="10" t="str">
        <f>IFERROR(Interest_Over,"")</f>
        <v/>
      </c>
      <c r="Q92" s="10" t="str">
        <f>IFERROR(YearlySavings_Over,"")</f>
        <v/>
      </c>
      <c r="R92" s="10" t="str">
        <f>IFERROR(DesiredRetirementIncome,"")</f>
        <v/>
      </c>
      <c r="S92" s="10" t="str">
        <f>IFERROR(PensionIncome_Over,"")</f>
        <v/>
      </c>
      <c r="T92" s="10" t="str">
        <f>IFERROR(EndBalance,"")</f>
        <v/>
      </c>
      <c r="W92" s="10" t="e">
        <f>IF(Calculations!A92&lt;DesiredRetirementAge,H92,NA())</f>
        <v>#N/A</v>
      </c>
      <c r="X92" s="10" t="str">
        <f>IF(Calculations!A92&gt;=(DesiredRetirementAge-1),H92,NA())</f>
        <v/>
      </c>
      <c r="Y92" s="10"/>
      <c r="AA92" s="10" t="e">
        <f t="shared" si="2"/>
        <v>#VALUE!</v>
      </c>
    </row>
    <row r="93" spans="1:27" x14ac:dyDescent="0.15">
      <c r="A93" s="6" t="str">
        <f>IFERROR(Age,"")</f>
        <v/>
      </c>
      <c r="B93" s="10" t="str">
        <f>IFERROR(Salary,"")</f>
        <v/>
      </c>
      <c r="C93" s="10" t="str">
        <f>IFERROR(Balance,"")</f>
        <v/>
      </c>
      <c r="D93" s="10" t="str">
        <f>IFERROR(Interest,"")</f>
        <v/>
      </c>
      <c r="E93" s="10" t="str">
        <f>IFERROR(YearlySavings,"")</f>
        <v/>
      </c>
      <c r="F93" s="10" t="str">
        <f>IFERROR(DesiredRetirementIncome,"")</f>
        <v/>
      </c>
      <c r="G93" s="10" t="str">
        <f>IFERROR(PensionIncome,"")</f>
        <v/>
      </c>
      <c r="H93" s="10" t="str">
        <f>IFERROR(EndBalance,"")</f>
        <v/>
      </c>
      <c r="I93" s="10" t="str">
        <f>IFERROR(Balance_Under,"")</f>
        <v/>
      </c>
      <c r="J93" s="10" t="str">
        <f>IFERROR(Interest_Under,"")</f>
        <v/>
      </c>
      <c r="K93" s="10" t="str">
        <f>IFERROR(YearlySavings_Under,"")</f>
        <v/>
      </c>
      <c r="L93" s="10" t="str">
        <f>IFERROR(DesiredRetirementIncome,"")</f>
        <v/>
      </c>
      <c r="M93" s="10" t="str">
        <f>IFERROR(PensionIncome_Under,"")</f>
        <v/>
      </c>
      <c r="N93" s="10" t="str">
        <f>IFERROR(EndBalance,"")</f>
        <v/>
      </c>
      <c r="O93" s="10" t="str">
        <f>IFERROR(Balance_Over,"")</f>
        <v/>
      </c>
      <c r="P93" s="10" t="str">
        <f>IFERROR(Interest_Over,"")</f>
        <v/>
      </c>
      <c r="Q93" s="10" t="str">
        <f>IFERROR(YearlySavings_Over,"")</f>
        <v/>
      </c>
      <c r="R93" s="10" t="str">
        <f>IFERROR(DesiredRetirementIncome,"")</f>
        <v/>
      </c>
      <c r="S93" s="10" t="str">
        <f>IFERROR(PensionIncome_Over,"")</f>
        <v/>
      </c>
      <c r="T93" s="10" t="str">
        <f>IFERROR(EndBalance,"")</f>
        <v/>
      </c>
      <c r="W93" s="10" t="e">
        <f>IF(Calculations!A93&lt;DesiredRetirementAge,H93,NA())</f>
        <v>#N/A</v>
      </c>
      <c r="X93" s="10" t="str">
        <f>IF(Calculations!A93&gt;=(DesiredRetirementAge-1),H93,NA())</f>
        <v/>
      </c>
      <c r="Y93" s="10"/>
      <c r="AA93" s="10" t="e">
        <f t="shared" si="2"/>
        <v>#VALUE!</v>
      </c>
    </row>
    <row r="94" spans="1:27" x14ac:dyDescent="0.15">
      <c r="A94" s="6" t="str">
        <f>IFERROR(Age,"")</f>
        <v/>
      </c>
      <c r="B94" s="10" t="str">
        <f>IFERROR(Salary,"")</f>
        <v/>
      </c>
      <c r="C94" s="10" t="str">
        <f>IFERROR(Balance,"")</f>
        <v/>
      </c>
      <c r="D94" s="10" t="str">
        <f>IFERROR(Interest,"")</f>
        <v/>
      </c>
      <c r="E94" s="10" t="str">
        <f>IFERROR(YearlySavings,"")</f>
        <v/>
      </c>
      <c r="F94" s="10" t="str">
        <f>IFERROR(DesiredRetirementIncome,"")</f>
        <v/>
      </c>
      <c r="G94" s="10" t="str">
        <f>IFERROR(PensionIncome,"")</f>
        <v/>
      </c>
      <c r="H94" s="10" t="str">
        <f>IFERROR(EndBalance,"")</f>
        <v/>
      </c>
      <c r="I94" s="10" t="str">
        <f>IFERROR(Balance_Under,"")</f>
        <v/>
      </c>
      <c r="J94" s="10" t="str">
        <f>IFERROR(Interest_Under,"")</f>
        <v/>
      </c>
      <c r="K94" s="10" t="str">
        <f>IFERROR(YearlySavings_Under,"")</f>
        <v/>
      </c>
      <c r="L94" s="10" t="str">
        <f>IFERROR(DesiredRetirementIncome,"")</f>
        <v/>
      </c>
      <c r="M94" s="10" t="str">
        <f>IFERROR(PensionIncome_Under,"")</f>
        <v/>
      </c>
      <c r="N94" s="10" t="str">
        <f>IFERROR(EndBalance,"")</f>
        <v/>
      </c>
      <c r="O94" s="10" t="str">
        <f>IFERROR(Balance_Over,"")</f>
        <v/>
      </c>
      <c r="P94" s="10" t="str">
        <f>IFERROR(Interest_Over,"")</f>
        <v/>
      </c>
      <c r="Q94" s="10" t="str">
        <f>IFERROR(YearlySavings_Over,"")</f>
        <v/>
      </c>
      <c r="R94" s="10" t="str">
        <f>IFERROR(DesiredRetirementIncome,"")</f>
        <v/>
      </c>
      <c r="S94" s="10" t="str">
        <f>IFERROR(PensionIncome_Over,"")</f>
        <v/>
      </c>
      <c r="T94" s="10" t="str">
        <f>IFERROR(EndBalance,"")</f>
        <v/>
      </c>
      <c r="W94" s="10" t="e">
        <f>IF(Calculations!A94&lt;DesiredRetirementAge,H94,NA())</f>
        <v>#N/A</v>
      </c>
      <c r="X94" s="10" t="str">
        <f>IF(Calculations!A94&gt;=(DesiredRetirementAge-1),H94,NA())</f>
        <v/>
      </c>
      <c r="Y94" s="10"/>
      <c r="AA94" s="10" t="e">
        <f t="shared" si="2"/>
        <v>#VALUE!</v>
      </c>
    </row>
    <row r="95" spans="1:27" x14ac:dyDescent="0.15">
      <c r="A95" s="6" t="str">
        <f>IFERROR(Age,"")</f>
        <v/>
      </c>
      <c r="B95" s="10" t="str">
        <f>IFERROR(Salary,"")</f>
        <v/>
      </c>
      <c r="C95" s="10" t="str">
        <f>IFERROR(Balance,"")</f>
        <v/>
      </c>
      <c r="D95" s="10" t="str">
        <f>IFERROR(Interest,"")</f>
        <v/>
      </c>
      <c r="E95" s="10" t="str">
        <f>IFERROR(YearlySavings,"")</f>
        <v/>
      </c>
      <c r="F95" s="10" t="str">
        <f>IFERROR(DesiredRetirementIncome,"")</f>
        <v/>
      </c>
      <c r="G95" s="10" t="str">
        <f>IFERROR(PensionIncome,"")</f>
        <v/>
      </c>
      <c r="H95" s="10" t="str">
        <f>IFERROR(EndBalance,"")</f>
        <v/>
      </c>
      <c r="I95" s="10" t="str">
        <f>IFERROR(Balance_Under,"")</f>
        <v/>
      </c>
      <c r="J95" s="10" t="str">
        <f>IFERROR(Interest_Under,"")</f>
        <v/>
      </c>
      <c r="K95" s="10" t="str">
        <f>IFERROR(YearlySavings_Under,"")</f>
        <v/>
      </c>
      <c r="L95" s="10" t="str">
        <f>IFERROR(DesiredRetirementIncome,"")</f>
        <v/>
      </c>
      <c r="M95" s="10" t="str">
        <f>IFERROR(PensionIncome_Under,"")</f>
        <v/>
      </c>
      <c r="N95" s="10" t="str">
        <f>IFERROR(EndBalance,"")</f>
        <v/>
      </c>
      <c r="O95" s="10" t="str">
        <f>IFERROR(Balance_Over,"")</f>
        <v/>
      </c>
      <c r="P95" s="10" t="str">
        <f>IFERROR(Interest_Over,"")</f>
        <v/>
      </c>
      <c r="Q95" s="10" t="str">
        <f>IFERROR(YearlySavings_Over,"")</f>
        <v/>
      </c>
      <c r="R95" s="10" t="str">
        <f>IFERROR(DesiredRetirementIncome,"")</f>
        <v/>
      </c>
      <c r="S95" s="10" t="str">
        <f>IFERROR(PensionIncome_Over,"")</f>
        <v/>
      </c>
      <c r="T95" s="10" t="str">
        <f>IFERROR(EndBalance,"")</f>
        <v/>
      </c>
      <c r="W95" s="10" t="e">
        <f>IF(Calculations!A95&lt;DesiredRetirementAge,H95,NA())</f>
        <v>#N/A</v>
      </c>
      <c r="X95" s="10" t="str">
        <f>IF(Calculations!A95&gt;=(DesiredRetirementAge-1),H95,NA())</f>
        <v/>
      </c>
      <c r="Y95" s="10"/>
      <c r="AA95" s="10" t="e">
        <f t="shared" si="2"/>
        <v>#VALUE!</v>
      </c>
    </row>
    <row r="96" spans="1:27" x14ac:dyDescent="0.15">
      <c r="A96" s="6" t="str">
        <f>IFERROR(Age,"")</f>
        <v/>
      </c>
      <c r="B96" s="10" t="str">
        <f>IFERROR(Salary,"")</f>
        <v/>
      </c>
      <c r="C96" s="10" t="str">
        <f>IFERROR(Balance,"")</f>
        <v/>
      </c>
      <c r="D96" s="10" t="str">
        <f>IFERROR(Interest,"")</f>
        <v/>
      </c>
      <c r="E96" s="10" t="str">
        <f>IFERROR(YearlySavings,"")</f>
        <v/>
      </c>
      <c r="F96" s="10" t="str">
        <f>IFERROR(DesiredRetirementIncome,"")</f>
        <v/>
      </c>
      <c r="G96" s="10" t="str">
        <f>IFERROR(PensionIncome,"")</f>
        <v/>
      </c>
      <c r="H96" s="10" t="str">
        <f>IFERROR(EndBalance,"")</f>
        <v/>
      </c>
      <c r="I96" s="10" t="str">
        <f>IFERROR(Balance_Under,"")</f>
        <v/>
      </c>
      <c r="J96" s="10" t="str">
        <f>IFERROR(Interest_Under,"")</f>
        <v/>
      </c>
      <c r="K96" s="10" t="str">
        <f>IFERROR(YearlySavings_Under,"")</f>
        <v/>
      </c>
      <c r="L96" s="10" t="str">
        <f>IFERROR(DesiredRetirementIncome,"")</f>
        <v/>
      </c>
      <c r="M96" s="10" t="str">
        <f>IFERROR(PensionIncome_Under,"")</f>
        <v/>
      </c>
      <c r="N96" s="10" t="str">
        <f>IFERROR(EndBalance,"")</f>
        <v/>
      </c>
      <c r="O96" s="10" t="str">
        <f>IFERROR(Balance_Over,"")</f>
        <v/>
      </c>
      <c r="P96" s="10" t="str">
        <f>IFERROR(Interest_Over,"")</f>
        <v/>
      </c>
      <c r="Q96" s="10" t="str">
        <f>IFERROR(YearlySavings_Over,"")</f>
        <v/>
      </c>
      <c r="R96" s="10" t="str">
        <f>IFERROR(DesiredRetirementIncome,"")</f>
        <v/>
      </c>
      <c r="S96" s="10" t="str">
        <f>IFERROR(PensionIncome_Over,"")</f>
        <v/>
      </c>
      <c r="T96" s="10" t="str">
        <f>IFERROR(EndBalance,"")</f>
        <v/>
      </c>
      <c r="W96" s="10" t="e">
        <f>IF(Calculations!A96&lt;DesiredRetirementAge,H96,NA())</f>
        <v>#N/A</v>
      </c>
      <c r="X96" s="10" t="str">
        <f>IF(Calculations!A96&gt;=(DesiredRetirementAge-1),H96,NA())</f>
        <v/>
      </c>
      <c r="Y96" s="10"/>
      <c r="AA96" s="10" t="e">
        <f t="shared" si="2"/>
        <v>#VALUE!</v>
      </c>
    </row>
    <row r="97" spans="1:27" x14ac:dyDescent="0.15">
      <c r="A97" s="6" t="str">
        <f>IFERROR(Age,"")</f>
        <v/>
      </c>
      <c r="B97" s="10" t="str">
        <f>IFERROR(Salary,"")</f>
        <v/>
      </c>
      <c r="C97" s="10" t="str">
        <f>IFERROR(Balance,"")</f>
        <v/>
      </c>
      <c r="D97" s="10" t="str">
        <f>IFERROR(Interest,"")</f>
        <v/>
      </c>
      <c r="E97" s="10" t="str">
        <f>IFERROR(YearlySavings,"")</f>
        <v/>
      </c>
      <c r="F97" s="10" t="str">
        <f>IFERROR(DesiredRetirementIncome,"")</f>
        <v/>
      </c>
      <c r="G97" s="10" t="str">
        <f>IFERROR(PensionIncome,"")</f>
        <v/>
      </c>
      <c r="H97" s="10" t="str">
        <f>IFERROR(EndBalance,"")</f>
        <v/>
      </c>
      <c r="I97" s="10" t="str">
        <f>IFERROR(Balance_Under,"")</f>
        <v/>
      </c>
      <c r="J97" s="10" t="str">
        <f>IFERROR(Interest_Under,"")</f>
        <v/>
      </c>
      <c r="K97" s="10" t="str">
        <f>IFERROR(YearlySavings_Under,"")</f>
        <v/>
      </c>
      <c r="L97" s="10" t="str">
        <f>IFERROR(DesiredRetirementIncome,"")</f>
        <v/>
      </c>
      <c r="M97" s="10" t="str">
        <f>IFERROR(PensionIncome_Under,"")</f>
        <v/>
      </c>
      <c r="N97" s="10" t="str">
        <f>IFERROR(EndBalance,"")</f>
        <v/>
      </c>
      <c r="O97" s="10" t="str">
        <f>IFERROR(Balance_Over,"")</f>
        <v/>
      </c>
      <c r="P97" s="10" t="str">
        <f>IFERROR(Interest_Over,"")</f>
        <v/>
      </c>
      <c r="Q97" s="10" t="str">
        <f>IFERROR(YearlySavings_Over,"")</f>
        <v/>
      </c>
      <c r="R97" s="10" t="str">
        <f>IFERROR(DesiredRetirementIncome,"")</f>
        <v/>
      </c>
      <c r="S97" s="10" t="str">
        <f>IFERROR(PensionIncome_Over,"")</f>
        <v/>
      </c>
      <c r="T97" s="10" t="str">
        <f>IFERROR(EndBalance,"")</f>
        <v/>
      </c>
      <c r="W97" s="10" t="e">
        <f>IF(Calculations!A97&lt;DesiredRetirementAge,H97,NA())</f>
        <v>#N/A</v>
      </c>
      <c r="X97" s="10" t="str">
        <f>IF(Calculations!A97&gt;=(DesiredRetirementAge-1),H97,NA())</f>
        <v/>
      </c>
      <c r="Y97" s="10"/>
      <c r="AA97" s="10" t="e">
        <f t="shared" si="2"/>
        <v>#VALUE!</v>
      </c>
    </row>
    <row r="98" spans="1:27" x14ac:dyDescent="0.15">
      <c r="A98" s="6" t="str">
        <f>IFERROR(Age,"")</f>
        <v/>
      </c>
      <c r="B98" s="10" t="str">
        <f>IFERROR(Salary,"")</f>
        <v/>
      </c>
      <c r="C98" s="10" t="str">
        <f>IFERROR(Balance,"")</f>
        <v/>
      </c>
      <c r="D98" s="10" t="str">
        <f>IFERROR(Interest,"")</f>
        <v/>
      </c>
      <c r="E98" s="10" t="str">
        <f>IFERROR(YearlySavings,"")</f>
        <v/>
      </c>
      <c r="F98" s="10" t="str">
        <f>IFERROR(DesiredRetirementIncome,"")</f>
        <v/>
      </c>
      <c r="G98" s="10" t="str">
        <f>IFERROR(PensionIncome,"")</f>
        <v/>
      </c>
      <c r="H98" s="10" t="str">
        <f>IFERROR(EndBalance,"")</f>
        <v/>
      </c>
      <c r="I98" s="10" t="str">
        <f>IFERROR(Balance_Under,"")</f>
        <v/>
      </c>
      <c r="J98" s="10" t="str">
        <f>IFERROR(Interest_Under,"")</f>
        <v/>
      </c>
      <c r="K98" s="10" t="str">
        <f>IFERROR(YearlySavings_Under,"")</f>
        <v/>
      </c>
      <c r="L98" s="10" t="str">
        <f>IFERROR(DesiredRetirementIncome,"")</f>
        <v/>
      </c>
      <c r="M98" s="10" t="str">
        <f>IFERROR(PensionIncome_Under,"")</f>
        <v/>
      </c>
      <c r="N98" s="10" t="str">
        <f>IFERROR(EndBalance,"")</f>
        <v/>
      </c>
      <c r="O98" s="10" t="str">
        <f>IFERROR(Balance_Over,"")</f>
        <v/>
      </c>
      <c r="P98" s="10" t="str">
        <f>IFERROR(Interest_Over,"")</f>
        <v/>
      </c>
      <c r="Q98" s="10" t="str">
        <f>IFERROR(YearlySavings_Over,"")</f>
        <v/>
      </c>
      <c r="R98" s="10" t="str">
        <f>IFERROR(DesiredRetirementIncome,"")</f>
        <v/>
      </c>
      <c r="S98" s="10" t="str">
        <f>IFERROR(PensionIncome_Over,"")</f>
        <v/>
      </c>
      <c r="T98" s="10" t="str">
        <f>IFERROR(EndBalance,"")</f>
        <v/>
      </c>
      <c r="W98" s="10" t="e">
        <f>IF(Calculations!A98&lt;DesiredRetirementAge,H98,NA())</f>
        <v>#N/A</v>
      </c>
      <c r="X98" s="10" t="str">
        <f>IF(Calculations!A98&gt;=(DesiredRetirementAge-1),H98,NA())</f>
        <v/>
      </c>
      <c r="Y98" s="10"/>
      <c r="AA98" s="10" t="e">
        <f t="shared" si="2"/>
        <v>#VALUE!</v>
      </c>
    </row>
    <row r="99" spans="1:27" x14ac:dyDescent="0.15">
      <c r="A99" s="6" t="str">
        <f>IFERROR(Age,"")</f>
        <v/>
      </c>
      <c r="B99" s="10" t="str">
        <f>IFERROR(Salary,"")</f>
        <v/>
      </c>
      <c r="C99" s="10" t="str">
        <f>IFERROR(Balance,"")</f>
        <v/>
      </c>
      <c r="D99" s="10" t="str">
        <f>IFERROR(Interest,"")</f>
        <v/>
      </c>
      <c r="E99" s="10" t="str">
        <f>IFERROR(YearlySavings,"")</f>
        <v/>
      </c>
      <c r="F99" s="10" t="str">
        <f>IFERROR(DesiredRetirementIncome,"")</f>
        <v/>
      </c>
      <c r="G99" s="10" t="str">
        <f>IFERROR(PensionIncome,"")</f>
        <v/>
      </c>
      <c r="H99" s="10" t="str">
        <f>IFERROR(EndBalance,"")</f>
        <v/>
      </c>
      <c r="I99" s="10" t="str">
        <f>IFERROR(Balance_Under,"")</f>
        <v/>
      </c>
      <c r="J99" s="10" t="str">
        <f>IFERROR(Interest_Under,"")</f>
        <v/>
      </c>
      <c r="K99" s="10" t="str">
        <f>IFERROR(YearlySavings_Under,"")</f>
        <v/>
      </c>
      <c r="L99" s="10" t="str">
        <f>IFERROR(DesiredRetirementIncome,"")</f>
        <v/>
      </c>
      <c r="M99" s="10" t="str">
        <f>IFERROR(PensionIncome_Under,"")</f>
        <v/>
      </c>
      <c r="N99" s="10" t="str">
        <f>IFERROR(EndBalance,"")</f>
        <v/>
      </c>
      <c r="O99" s="10" t="str">
        <f>IFERROR(Balance_Over,"")</f>
        <v/>
      </c>
      <c r="P99" s="10" t="str">
        <f>IFERROR(Interest_Over,"")</f>
        <v/>
      </c>
      <c r="Q99" s="10" t="str">
        <f>IFERROR(YearlySavings_Over,"")</f>
        <v/>
      </c>
      <c r="R99" s="10" t="str">
        <f>IFERROR(DesiredRetirementIncome,"")</f>
        <v/>
      </c>
      <c r="S99" s="10" t="str">
        <f>IFERROR(PensionIncome_Over,"")</f>
        <v/>
      </c>
      <c r="T99" s="10" t="str">
        <f>IFERROR(EndBalance,"")</f>
        <v/>
      </c>
      <c r="W99" s="10" t="e">
        <f>IF(Calculations!A99&lt;DesiredRetirementAge,H99,NA())</f>
        <v>#N/A</v>
      </c>
      <c r="X99" s="10" t="str">
        <f>IF(Calculations!A99&gt;=(DesiredRetirementAge-1),H99,NA())</f>
        <v/>
      </c>
      <c r="Y99" s="10"/>
      <c r="AA99" s="10" t="e">
        <f t="shared" si="2"/>
        <v>#VALUE!</v>
      </c>
    </row>
    <row r="100" spans="1:27" x14ac:dyDescent="0.15">
      <c r="A100" s="6" t="str">
        <f>IFERROR(Age,"")</f>
        <v/>
      </c>
      <c r="B100" s="10" t="str">
        <f>IFERROR(Salary,"")</f>
        <v/>
      </c>
      <c r="C100" s="10" t="str">
        <f>IFERROR(Balance,"")</f>
        <v/>
      </c>
      <c r="D100" s="10" t="str">
        <f>IFERROR(Interest,"")</f>
        <v/>
      </c>
      <c r="E100" s="10" t="str">
        <f>IFERROR(YearlySavings,"")</f>
        <v/>
      </c>
      <c r="F100" s="10" t="str">
        <f>IFERROR(DesiredRetirementIncome,"")</f>
        <v/>
      </c>
      <c r="G100" s="10" t="str">
        <f>IFERROR(PensionIncome,"")</f>
        <v/>
      </c>
      <c r="H100" s="10" t="str">
        <f>IFERROR(EndBalance,"")</f>
        <v/>
      </c>
      <c r="I100" s="10" t="str">
        <f>IFERROR(Balance_Under,"")</f>
        <v/>
      </c>
      <c r="J100" s="10" t="str">
        <f>IFERROR(Interest_Under,"")</f>
        <v/>
      </c>
      <c r="K100" s="10" t="str">
        <f>IFERROR(YearlySavings_Under,"")</f>
        <v/>
      </c>
      <c r="L100" s="10" t="str">
        <f>IFERROR(DesiredRetirementIncome,"")</f>
        <v/>
      </c>
      <c r="M100" s="10" t="str">
        <f>IFERROR(PensionIncome_Under,"")</f>
        <v/>
      </c>
      <c r="N100" s="10" t="str">
        <f>IFERROR(EndBalance,"")</f>
        <v/>
      </c>
      <c r="O100" s="10" t="str">
        <f>IFERROR(Balance_Over,"")</f>
        <v/>
      </c>
      <c r="P100" s="10" t="str">
        <f>IFERROR(Interest_Over,"")</f>
        <v/>
      </c>
      <c r="Q100" s="10" t="str">
        <f>IFERROR(YearlySavings_Over,"")</f>
        <v/>
      </c>
      <c r="R100" s="10" t="str">
        <f>IFERROR(DesiredRetirementIncome,"")</f>
        <v/>
      </c>
      <c r="S100" s="10" t="str">
        <f>IFERROR(PensionIncome_Over,"")</f>
        <v/>
      </c>
      <c r="T100" s="10" t="str">
        <f>IFERROR(EndBalance,"")</f>
        <v/>
      </c>
      <c r="W100" s="10" t="e">
        <f>IF(Calculations!A100&lt;DesiredRetirementAge,H100,NA())</f>
        <v>#N/A</v>
      </c>
      <c r="X100" s="10" t="str">
        <f>IF(Calculations!A100&gt;=(DesiredRetirementAge-1),H100,NA())</f>
        <v/>
      </c>
      <c r="Y100" s="10"/>
      <c r="AA100" s="10" t="e">
        <f t="shared" si="2"/>
        <v>#VALUE!</v>
      </c>
    </row>
    <row r="101" spans="1:27" x14ac:dyDescent="0.15">
      <c r="A101" s="6" t="str">
        <f>IFERROR(Age,"")</f>
        <v/>
      </c>
      <c r="B101" s="10" t="str">
        <f>IFERROR(Salary,"")</f>
        <v/>
      </c>
      <c r="C101" s="10" t="str">
        <f>IFERROR(Balance,"")</f>
        <v/>
      </c>
      <c r="D101" s="10" t="str">
        <f>IFERROR(Interest,"")</f>
        <v/>
      </c>
      <c r="E101" s="10" t="str">
        <f>IFERROR(YearlySavings,"")</f>
        <v/>
      </c>
      <c r="F101" s="10" t="str">
        <f>IFERROR(DesiredRetirementIncome,"")</f>
        <v/>
      </c>
      <c r="G101" s="10" t="str">
        <f>IFERROR(PensionIncome,"")</f>
        <v/>
      </c>
      <c r="H101" s="10" t="str">
        <f>IFERROR(EndBalance,"")</f>
        <v/>
      </c>
      <c r="I101" s="10" t="str">
        <f>IFERROR(Balance_Under,"")</f>
        <v/>
      </c>
      <c r="J101" s="10" t="str">
        <f>IFERROR(Interest_Under,"")</f>
        <v/>
      </c>
      <c r="K101" s="10" t="str">
        <f>IFERROR(YearlySavings_Under,"")</f>
        <v/>
      </c>
      <c r="L101" s="10" t="str">
        <f>IFERROR(DesiredRetirementIncome,"")</f>
        <v/>
      </c>
      <c r="M101" s="10" t="str">
        <f>IFERROR(PensionIncome_Under,"")</f>
        <v/>
      </c>
      <c r="N101" s="10" t="str">
        <f>IFERROR(EndBalance,"")</f>
        <v/>
      </c>
      <c r="O101" s="10" t="str">
        <f>IFERROR(Balance_Over,"")</f>
        <v/>
      </c>
      <c r="P101" s="10" t="str">
        <f>IFERROR(Interest_Over,"")</f>
        <v/>
      </c>
      <c r="Q101" s="10" t="str">
        <f>IFERROR(YearlySavings_Over,"")</f>
        <v/>
      </c>
      <c r="R101" s="10" t="str">
        <f>IFERROR(DesiredRetirementIncome,"")</f>
        <v/>
      </c>
      <c r="S101" s="10" t="str">
        <f>IFERROR(PensionIncome_Over,"")</f>
        <v/>
      </c>
      <c r="T101" s="10" t="str">
        <f>IFERROR(EndBalance,"")</f>
        <v/>
      </c>
      <c r="W101" s="10" t="e">
        <f>IF(Calculations!A101&lt;DesiredRetirementAge,H101,NA())</f>
        <v>#N/A</v>
      </c>
      <c r="X101" s="10" t="str">
        <f>IF(Calculations!A101&gt;=(DesiredRetirementAge-1),H101,NA())</f>
        <v/>
      </c>
      <c r="Y101" s="10"/>
      <c r="AA101" s="10" t="e">
        <f t="shared" si="2"/>
        <v>#VALUE!</v>
      </c>
    </row>
    <row r="102" spans="1:27" x14ac:dyDescent="0.15">
      <c r="A102" s="6" t="str">
        <f>IFERROR(Age,"")</f>
        <v/>
      </c>
      <c r="B102" s="10" t="str">
        <f>IFERROR(Salary,"")</f>
        <v/>
      </c>
      <c r="C102" s="10" t="str">
        <f>IFERROR(Balance,"")</f>
        <v/>
      </c>
      <c r="D102" s="10" t="str">
        <f>IFERROR(Interest,"")</f>
        <v/>
      </c>
      <c r="E102" s="10" t="str">
        <f>IFERROR(YearlySavings,"")</f>
        <v/>
      </c>
      <c r="F102" s="10" t="str">
        <f>IFERROR(DesiredRetirementIncome,"")</f>
        <v/>
      </c>
      <c r="G102" s="10" t="str">
        <f>IFERROR(PensionIncome,"")</f>
        <v/>
      </c>
      <c r="H102" s="10" t="str">
        <f>IFERROR(EndBalance,"")</f>
        <v/>
      </c>
      <c r="I102" s="10" t="str">
        <f>IFERROR(Balance_Under,"")</f>
        <v/>
      </c>
      <c r="J102" s="10" t="str">
        <f>IFERROR(Interest_Under,"")</f>
        <v/>
      </c>
      <c r="K102" s="10" t="str">
        <f>IFERROR(YearlySavings_Under,"")</f>
        <v/>
      </c>
      <c r="L102" s="10" t="str">
        <f>IFERROR(DesiredRetirementIncome,"")</f>
        <v/>
      </c>
      <c r="M102" s="10" t="str">
        <f>IFERROR(PensionIncome_Under,"")</f>
        <v/>
      </c>
      <c r="N102" s="10" t="str">
        <f>IFERROR(EndBalance,"")</f>
        <v/>
      </c>
      <c r="O102" s="10" t="str">
        <f>IFERROR(Balance_Over,"")</f>
        <v/>
      </c>
      <c r="P102" s="10" t="str">
        <f>IFERROR(Interest_Over,"")</f>
        <v/>
      </c>
      <c r="Q102" s="10" t="str">
        <f>IFERROR(YearlySavings_Over,"")</f>
        <v/>
      </c>
      <c r="R102" s="10" t="str">
        <f>IFERROR(DesiredRetirementIncome,"")</f>
        <v/>
      </c>
      <c r="S102" s="10" t="str">
        <f>IFERROR(PensionIncome_Over,"")</f>
        <v/>
      </c>
      <c r="T102" s="10" t="str">
        <f>IFERROR(EndBalance,"")</f>
        <v/>
      </c>
      <c r="W102" s="10" t="e">
        <f>IF(Calculations!A102&lt;DesiredRetirementAge,H102,NA())</f>
        <v>#N/A</v>
      </c>
      <c r="X102" s="10" t="str">
        <f>IF(Calculations!A102&gt;=(DesiredRetirementAge-1),H102,NA())</f>
        <v/>
      </c>
      <c r="Y102" s="10"/>
      <c r="AA102" s="10" t="e">
        <f t="shared" si="2"/>
        <v>#VALUE!</v>
      </c>
    </row>
    <row r="103" spans="1:27" x14ac:dyDescent="0.15">
      <c r="A103" s="6" t="str">
        <f>IFERROR(Age,"")</f>
        <v/>
      </c>
      <c r="B103" s="10" t="str">
        <f>IFERROR(Salary,"")</f>
        <v/>
      </c>
      <c r="C103" s="10" t="str">
        <f>IFERROR(Balance,"")</f>
        <v/>
      </c>
      <c r="D103" s="10" t="str">
        <f>IFERROR(Interest,"")</f>
        <v/>
      </c>
      <c r="E103" s="10" t="str">
        <f>IFERROR(YearlySavings,"")</f>
        <v/>
      </c>
      <c r="F103" s="10" t="str">
        <f>IFERROR(DesiredRetirementIncome,"")</f>
        <v/>
      </c>
      <c r="G103" s="10" t="str">
        <f>IFERROR(PensionIncome,"")</f>
        <v/>
      </c>
      <c r="H103" s="10" t="str">
        <f>IFERROR(EndBalance,"")</f>
        <v/>
      </c>
      <c r="I103" s="10" t="str">
        <f>IFERROR(Balance_Under,"")</f>
        <v/>
      </c>
      <c r="J103" s="10" t="str">
        <f>IFERROR(Interest_Under,"")</f>
        <v/>
      </c>
      <c r="K103" s="10" t="str">
        <f>IFERROR(YearlySavings_Under,"")</f>
        <v/>
      </c>
      <c r="L103" s="10" t="str">
        <f>IFERROR(DesiredRetirementIncome,"")</f>
        <v/>
      </c>
      <c r="M103" s="10" t="str">
        <f>IFERROR(PensionIncome_Under,"")</f>
        <v/>
      </c>
      <c r="N103" s="10" t="str">
        <f>IFERROR(EndBalance,"")</f>
        <v/>
      </c>
      <c r="O103" s="10" t="str">
        <f>IFERROR(Balance_Over,"")</f>
        <v/>
      </c>
      <c r="P103" s="10" t="str">
        <f>IFERROR(Interest_Over,"")</f>
        <v/>
      </c>
      <c r="Q103" s="10" t="str">
        <f>IFERROR(YearlySavings_Over,"")</f>
        <v/>
      </c>
      <c r="R103" s="10" t="str">
        <f>IFERROR(DesiredRetirementIncome,"")</f>
        <v/>
      </c>
      <c r="S103" s="10" t="str">
        <f>IFERROR(PensionIncome_Over,"")</f>
        <v/>
      </c>
      <c r="T103" s="10" t="str">
        <f>IFERROR(EndBalance,"")</f>
        <v/>
      </c>
      <c r="W103" s="10" t="e">
        <f>IF(Calculations!A103&lt;DesiredRetirementAge,H103,NA())</f>
        <v>#N/A</v>
      </c>
      <c r="X103" s="10" t="str">
        <f>IF(Calculations!A103&gt;=(DesiredRetirementAge-1),H103,NA())</f>
        <v/>
      </c>
      <c r="Y103" s="10"/>
      <c r="AA103" s="10" t="e">
        <f t="shared" si="2"/>
        <v>#VALUE!</v>
      </c>
    </row>
    <row r="104" spans="1:27" x14ac:dyDescent="0.15">
      <c r="A104" s="6" t="str">
        <f>IFERROR(Age,"")</f>
        <v/>
      </c>
      <c r="B104" s="10" t="str">
        <f>IFERROR(Salary,"")</f>
        <v/>
      </c>
      <c r="C104" s="10" t="str">
        <f>IFERROR(Balance,"")</f>
        <v/>
      </c>
      <c r="D104" s="10" t="str">
        <f>IFERROR(Interest,"")</f>
        <v/>
      </c>
      <c r="E104" s="10" t="str">
        <f>IFERROR(YearlySavings,"")</f>
        <v/>
      </c>
      <c r="F104" s="10" t="str">
        <f>IFERROR(DesiredRetirementIncome,"")</f>
        <v/>
      </c>
      <c r="G104" s="10" t="str">
        <f>IFERROR(PensionIncome,"")</f>
        <v/>
      </c>
      <c r="H104" s="10" t="str">
        <f>IFERROR(EndBalance,"")</f>
        <v/>
      </c>
      <c r="I104" s="10" t="str">
        <f>IFERROR(Balance_Under,"")</f>
        <v/>
      </c>
      <c r="J104" s="10" t="str">
        <f>IFERROR(Interest_Under,"")</f>
        <v/>
      </c>
      <c r="K104" s="10" t="str">
        <f>IFERROR(YearlySavings_Under,"")</f>
        <v/>
      </c>
      <c r="L104" s="10" t="str">
        <f>IFERROR(DesiredRetirementIncome,"")</f>
        <v/>
      </c>
      <c r="M104" s="10" t="str">
        <f>IFERROR(PensionIncome_Under,"")</f>
        <v/>
      </c>
      <c r="N104" s="10" t="str">
        <f>IFERROR(EndBalance,"")</f>
        <v/>
      </c>
      <c r="O104" s="10" t="str">
        <f>IFERROR(Balance_Over,"")</f>
        <v/>
      </c>
      <c r="P104" s="10" t="str">
        <f>IFERROR(Interest_Over,"")</f>
        <v/>
      </c>
      <c r="Q104" s="10" t="str">
        <f>IFERROR(YearlySavings_Over,"")</f>
        <v/>
      </c>
      <c r="R104" s="10" t="str">
        <f>IFERROR(DesiredRetirementIncome,"")</f>
        <v/>
      </c>
      <c r="S104" s="10" t="str">
        <f>IFERROR(PensionIncome_Over,"")</f>
        <v/>
      </c>
      <c r="T104" s="10" t="str">
        <f>IFERROR(EndBalance,"")</f>
        <v/>
      </c>
      <c r="W104" s="10" t="e">
        <f>IF(Calculations!A104&lt;DesiredRetirementAge,H104,NA())</f>
        <v>#N/A</v>
      </c>
      <c r="X104" s="10" t="str">
        <f>IF(Calculations!A104&gt;=(DesiredRetirementAge-1),H104,NA())</f>
        <v/>
      </c>
      <c r="Y104" s="10"/>
      <c r="AA104" s="10" t="e">
        <f t="shared" si="2"/>
        <v>#VALUE!</v>
      </c>
    </row>
    <row r="105" spans="1:27" x14ac:dyDescent="0.15">
      <c r="A105" s="6" t="str">
        <f>IFERROR(Age,"")</f>
        <v/>
      </c>
      <c r="B105" s="10" t="str">
        <f>IFERROR(Salary,"")</f>
        <v/>
      </c>
      <c r="C105" s="10" t="str">
        <f>IFERROR(Balance,"")</f>
        <v/>
      </c>
      <c r="D105" s="10" t="str">
        <f>IFERROR(Interest,"")</f>
        <v/>
      </c>
      <c r="E105" s="10" t="str">
        <f>IFERROR(YearlySavings,"")</f>
        <v/>
      </c>
      <c r="F105" s="10" t="str">
        <f>IFERROR(DesiredRetirementIncome,"")</f>
        <v/>
      </c>
      <c r="G105" s="10" t="str">
        <f>IFERROR(PensionIncome,"")</f>
        <v/>
      </c>
      <c r="H105" s="10" t="str">
        <f>IFERROR(EndBalance,"")</f>
        <v/>
      </c>
      <c r="I105" s="10" t="str">
        <f>IFERROR(Balance_Under,"")</f>
        <v/>
      </c>
      <c r="J105" s="10" t="str">
        <f>IFERROR(Interest_Under,"")</f>
        <v/>
      </c>
      <c r="K105" s="10" t="str">
        <f>IFERROR(YearlySavings_Under,"")</f>
        <v/>
      </c>
      <c r="L105" s="10" t="str">
        <f>IFERROR(DesiredRetirementIncome,"")</f>
        <v/>
      </c>
      <c r="M105" s="10" t="str">
        <f>IFERROR(PensionIncome_Under,"")</f>
        <v/>
      </c>
      <c r="N105" s="10" t="str">
        <f>IFERROR(EndBalance,"")</f>
        <v/>
      </c>
      <c r="O105" s="10" t="str">
        <f>IFERROR(Balance_Over,"")</f>
        <v/>
      </c>
      <c r="P105" s="10" t="str">
        <f>IFERROR(Interest_Over,"")</f>
        <v/>
      </c>
      <c r="Q105" s="10" t="str">
        <f>IFERROR(YearlySavings_Over,"")</f>
        <v/>
      </c>
      <c r="R105" s="10" t="str">
        <f>IFERROR(DesiredRetirementIncome,"")</f>
        <v/>
      </c>
      <c r="S105" s="10" t="str">
        <f>IFERROR(PensionIncome_Over,"")</f>
        <v/>
      </c>
      <c r="T105" s="10" t="str">
        <f>IFERROR(EndBalance,"")</f>
        <v/>
      </c>
      <c r="W105" s="10" t="e">
        <f>IF(Calculations!A105&lt;DesiredRetirementAge,H105,NA())</f>
        <v>#N/A</v>
      </c>
      <c r="X105" s="10" t="str">
        <f>IF(Calculations!A105&gt;=(DesiredRetirementAge-1),H105,NA())</f>
        <v/>
      </c>
      <c r="Y105" s="10"/>
      <c r="AA105" s="10" t="e">
        <f t="shared" si="2"/>
        <v>#VALUE!</v>
      </c>
    </row>
    <row r="106" spans="1:27" x14ac:dyDescent="0.15">
      <c r="A106" s="6" t="str">
        <f>IFERROR(Age,"")</f>
        <v/>
      </c>
      <c r="B106" s="10" t="str">
        <f>IFERROR(Salary,"")</f>
        <v/>
      </c>
      <c r="C106" s="10" t="str">
        <f>IFERROR(Balance,"")</f>
        <v/>
      </c>
      <c r="D106" s="10" t="str">
        <f>IFERROR(Interest,"")</f>
        <v/>
      </c>
      <c r="E106" s="10" t="str">
        <f>IFERROR(YearlySavings,"")</f>
        <v/>
      </c>
      <c r="F106" s="10" t="str">
        <f>IFERROR(DesiredRetirementIncome,"")</f>
        <v/>
      </c>
      <c r="G106" s="10" t="str">
        <f>IFERROR(PensionIncome,"")</f>
        <v/>
      </c>
      <c r="H106" s="10" t="str">
        <f>IFERROR(EndBalance,"")</f>
        <v/>
      </c>
      <c r="I106" s="10" t="str">
        <f>IFERROR(Balance_Under,"")</f>
        <v/>
      </c>
      <c r="J106" s="10" t="str">
        <f>IFERROR(Interest_Under,"")</f>
        <v/>
      </c>
      <c r="K106" s="10" t="str">
        <f>IFERROR(YearlySavings_Under,"")</f>
        <v/>
      </c>
      <c r="L106" s="10" t="str">
        <f>IFERROR(DesiredRetirementIncome,"")</f>
        <v/>
      </c>
      <c r="M106" s="10" t="str">
        <f>IFERROR(PensionIncome_Under,"")</f>
        <v/>
      </c>
      <c r="N106" s="10" t="str">
        <f>IFERROR(EndBalance,"")</f>
        <v/>
      </c>
      <c r="O106" s="10" t="str">
        <f>IFERROR(Balance_Over,"")</f>
        <v/>
      </c>
      <c r="P106" s="10" t="str">
        <f>IFERROR(Interest_Over,"")</f>
        <v/>
      </c>
      <c r="Q106" s="10" t="str">
        <f>IFERROR(YearlySavings_Over,"")</f>
        <v/>
      </c>
      <c r="R106" s="10" t="str">
        <f>IFERROR(DesiredRetirementIncome,"")</f>
        <v/>
      </c>
      <c r="S106" s="10" t="str">
        <f>IFERROR(PensionIncome_Over,"")</f>
        <v/>
      </c>
      <c r="T106" s="10" t="str">
        <f>IFERROR(EndBalance,"")</f>
        <v/>
      </c>
      <c r="W106" s="10" t="e">
        <f>IF(Calculations!A106&lt;DesiredRetirementAge,H106,NA())</f>
        <v>#N/A</v>
      </c>
      <c r="X106" s="10" t="str">
        <f>IF(Calculations!A106&gt;=(DesiredRetirementAge-1),H106,NA())</f>
        <v/>
      </c>
      <c r="Y106" s="10"/>
      <c r="AA106" s="10" t="e">
        <f t="shared" si="2"/>
        <v>#VALUE!</v>
      </c>
    </row>
    <row r="107" spans="1:27" x14ac:dyDescent="0.15">
      <c r="A107" s="6" t="str">
        <f>IFERROR(Age,"")</f>
        <v/>
      </c>
      <c r="B107" s="10" t="str">
        <f>IFERROR(Salary,"")</f>
        <v/>
      </c>
      <c r="C107" s="10" t="str">
        <f>IFERROR(Balance,"")</f>
        <v/>
      </c>
      <c r="D107" s="10" t="str">
        <f>IFERROR(Interest,"")</f>
        <v/>
      </c>
      <c r="E107" s="10" t="str">
        <f>IFERROR(YearlySavings,"")</f>
        <v/>
      </c>
      <c r="F107" s="10" t="str">
        <f>IFERROR(DesiredRetirementIncome,"")</f>
        <v/>
      </c>
      <c r="G107" s="10" t="str">
        <f>IFERROR(PensionIncome,"")</f>
        <v/>
      </c>
      <c r="H107" s="10" t="str">
        <f>IFERROR(EndBalance,"")</f>
        <v/>
      </c>
      <c r="I107" s="10" t="str">
        <f>IFERROR(Balance_Under,"")</f>
        <v/>
      </c>
      <c r="J107" s="10" t="str">
        <f>IFERROR(Interest_Under,"")</f>
        <v/>
      </c>
      <c r="K107" s="10" t="str">
        <f>IFERROR(YearlySavings_Under,"")</f>
        <v/>
      </c>
      <c r="L107" s="10" t="str">
        <f>IFERROR(DesiredRetirementIncome,"")</f>
        <v/>
      </c>
      <c r="M107" s="10" t="str">
        <f>IFERROR(PensionIncome_Under,"")</f>
        <v/>
      </c>
      <c r="N107" s="10" t="str">
        <f>IFERROR(EndBalance,"")</f>
        <v/>
      </c>
      <c r="O107" s="10" t="str">
        <f>IFERROR(Balance_Over,"")</f>
        <v/>
      </c>
      <c r="P107" s="10" t="str">
        <f>IFERROR(Interest_Over,"")</f>
        <v/>
      </c>
      <c r="Q107" s="10" t="str">
        <f>IFERROR(YearlySavings_Over,"")</f>
        <v/>
      </c>
      <c r="R107" s="10" t="str">
        <f>IFERROR(DesiredRetirementIncome,"")</f>
        <v/>
      </c>
      <c r="S107" s="10" t="str">
        <f>IFERROR(PensionIncome_Over,"")</f>
        <v/>
      </c>
      <c r="T107" s="10" t="str">
        <f>IFERROR(EndBalance,"")</f>
        <v/>
      </c>
      <c r="W107" s="10" t="e">
        <f>IF(Calculations!A107&lt;DesiredRetirementAge,H107,NA())</f>
        <v>#N/A</v>
      </c>
      <c r="X107" s="10" t="str">
        <f>IF(Calculations!A107&gt;=(DesiredRetirementAge-1),H107,NA())</f>
        <v/>
      </c>
      <c r="Y107" s="10"/>
      <c r="AA107" s="10" t="e">
        <f t="shared" si="2"/>
        <v>#VALUE!</v>
      </c>
    </row>
    <row r="108" spans="1:27" x14ac:dyDescent="0.15">
      <c r="A108" s="6" t="str">
        <f>IFERROR(Age,"")</f>
        <v/>
      </c>
      <c r="B108" s="10" t="str">
        <f>IFERROR(Salary,"")</f>
        <v/>
      </c>
      <c r="C108" s="10" t="str">
        <f>IFERROR(Balance,"")</f>
        <v/>
      </c>
      <c r="D108" s="10" t="str">
        <f>IFERROR(Interest,"")</f>
        <v/>
      </c>
      <c r="E108" s="10" t="str">
        <f>IFERROR(YearlySavings,"")</f>
        <v/>
      </c>
      <c r="F108" s="10" t="str">
        <f>IFERROR(DesiredRetirementIncome,"")</f>
        <v/>
      </c>
      <c r="G108" s="10" t="str">
        <f>IFERROR(PensionIncome,"")</f>
        <v/>
      </c>
      <c r="H108" s="10" t="str">
        <f>IFERROR(EndBalance,"")</f>
        <v/>
      </c>
      <c r="I108" s="10" t="str">
        <f>IFERROR(Balance_Under,"")</f>
        <v/>
      </c>
      <c r="J108" s="10" t="str">
        <f>IFERROR(Interest_Under,"")</f>
        <v/>
      </c>
      <c r="K108" s="10" t="str">
        <f>IFERROR(YearlySavings_Under,"")</f>
        <v/>
      </c>
      <c r="L108" s="10" t="str">
        <f>IFERROR(DesiredRetirementIncome,"")</f>
        <v/>
      </c>
      <c r="M108" s="10" t="str">
        <f>IFERROR(PensionIncome_Under,"")</f>
        <v/>
      </c>
      <c r="N108" s="10" t="str">
        <f>IFERROR(EndBalance,"")</f>
        <v/>
      </c>
      <c r="O108" s="10" t="str">
        <f>IFERROR(Balance_Over,"")</f>
        <v/>
      </c>
      <c r="P108" s="10" t="str">
        <f>IFERROR(Interest_Over,"")</f>
        <v/>
      </c>
      <c r="Q108" s="10" t="str">
        <f>IFERROR(YearlySavings_Over,"")</f>
        <v/>
      </c>
      <c r="R108" s="10" t="str">
        <f>IFERROR(DesiredRetirementIncome,"")</f>
        <v/>
      </c>
      <c r="S108" s="10" t="str">
        <f>IFERROR(PensionIncome_Over,"")</f>
        <v/>
      </c>
      <c r="T108" s="10" t="str">
        <f>IFERROR(EndBalance,"")</f>
        <v/>
      </c>
      <c r="W108" s="10" t="e">
        <f>IF(Calculations!A108&lt;DesiredRetirementAge,H108,NA())</f>
        <v>#N/A</v>
      </c>
      <c r="X108" s="10" t="str">
        <f>IF(Calculations!A108&gt;=(DesiredRetirementAge-1),H108,NA())</f>
        <v/>
      </c>
      <c r="Y108" s="10"/>
      <c r="AA108" s="10" t="e">
        <f t="shared" si="2"/>
        <v>#VALUE!</v>
      </c>
    </row>
    <row r="109" spans="1:27" x14ac:dyDescent="0.15">
      <c r="A109" s="6" t="str">
        <f>IFERROR(Age,"")</f>
        <v/>
      </c>
      <c r="B109" s="10" t="str">
        <f>IFERROR(Salary,"")</f>
        <v/>
      </c>
      <c r="C109" s="10" t="str">
        <f>IFERROR(Balance,"")</f>
        <v/>
      </c>
      <c r="D109" s="10" t="str">
        <f>IFERROR(Interest,"")</f>
        <v/>
      </c>
      <c r="E109" s="10" t="str">
        <f>IFERROR(YearlySavings,"")</f>
        <v/>
      </c>
      <c r="F109" s="10" t="str">
        <f>IFERROR(DesiredRetirementIncome,"")</f>
        <v/>
      </c>
      <c r="G109" s="10" t="str">
        <f>IFERROR(PensionIncome,"")</f>
        <v/>
      </c>
      <c r="H109" s="10" t="str">
        <f>IFERROR(EndBalance,"")</f>
        <v/>
      </c>
      <c r="I109" s="10" t="str">
        <f>IFERROR(Balance_Under,"")</f>
        <v/>
      </c>
      <c r="J109" s="10" t="str">
        <f>IFERROR(Interest_Under,"")</f>
        <v/>
      </c>
      <c r="K109" s="10" t="str">
        <f>IFERROR(YearlySavings_Under,"")</f>
        <v/>
      </c>
      <c r="L109" s="10" t="str">
        <f>IFERROR(DesiredRetirementIncome,"")</f>
        <v/>
      </c>
      <c r="M109" s="10" t="str">
        <f>IFERROR(PensionIncome_Under,"")</f>
        <v/>
      </c>
      <c r="N109" s="10" t="str">
        <f>IFERROR(EndBalance,"")</f>
        <v/>
      </c>
      <c r="O109" s="10" t="str">
        <f>IFERROR(Balance_Over,"")</f>
        <v/>
      </c>
      <c r="P109" s="10" t="str">
        <f>IFERROR(Interest_Over,"")</f>
        <v/>
      </c>
      <c r="Q109" s="10" t="str">
        <f>IFERROR(YearlySavings_Over,"")</f>
        <v/>
      </c>
      <c r="R109" s="10" t="str">
        <f>IFERROR(DesiredRetirementIncome,"")</f>
        <v/>
      </c>
      <c r="S109" s="10" t="str">
        <f>IFERROR(PensionIncome_Over,"")</f>
        <v/>
      </c>
      <c r="T109" s="10" t="str">
        <f>IFERROR(EndBalance,"")</f>
        <v/>
      </c>
      <c r="W109" s="10" t="e">
        <f>IF(Calculations!A109&lt;DesiredRetirementAge,H109,NA())</f>
        <v>#N/A</v>
      </c>
      <c r="X109" s="10" t="str">
        <f>IF(Calculations!A109&gt;=(DesiredRetirementAge-1),H109,NA())</f>
        <v/>
      </c>
      <c r="Y109" s="10"/>
      <c r="AA109" s="10" t="e">
        <f t="shared" si="2"/>
        <v>#VALUE!</v>
      </c>
    </row>
    <row r="110" spans="1:27" x14ac:dyDescent="0.15">
      <c r="A110" s="6" t="str">
        <f>IFERROR(Age,"")</f>
        <v/>
      </c>
      <c r="B110" s="10" t="str">
        <f>IFERROR(Salary,"")</f>
        <v/>
      </c>
      <c r="C110" s="10" t="str">
        <f>IFERROR(Balance,"")</f>
        <v/>
      </c>
      <c r="D110" s="10" t="str">
        <f>IFERROR(Interest,"")</f>
        <v/>
      </c>
      <c r="E110" s="10" t="str">
        <f>IFERROR(YearlySavings,"")</f>
        <v/>
      </c>
      <c r="F110" s="10" t="str">
        <f>IFERROR(DesiredRetirementIncome,"")</f>
        <v/>
      </c>
      <c r="G110" s="10" t="str">
        <f>IFERROR(PensionIncome,"")</f>
        <v/>
      </c>
      <c r="H110" s="10" t="str">
        <f>IFERROR(EndBalance,"")</f>
        <v/>
      </c>
      <c r="I110" s="10" t="str">
        <f>IFERROR(Balance_Under,"")</f>
        <v/>
      </c>
      <c r="J110" s="10" t="str">
        <f>IFERROR(Interest_Under,"")</f>
        <v/>
      </c>
      <c r="K110" s="10" t="str">
        <f>IFERROR(YearlySavings_Under,"")</f>
        <v/>
      </c>
      <c r="L110" s="10" t="str">
        <f>IFERROR(DesiredRetirementIncome,"")</f>
        <v/>
      </c>
      <c r="M110" s="10" t="str">
        <f>IFERROR(PensionIncome_Under,"")</f>
        <v/>
      </c>
      <c r="N110" s="10" t="str">
        <f>IFERROR(EndBalance,"")</f>
        <v/>
      </c>
      <c r="O110" s="10" t="str">
        <f>IFERROR(Balance_Over,"")</f>
        <v/>
      </c>
      <c r="P110" s="10" t="str">
        <f>IFERROR(Interest_Over,"")</f>
        <v/>
      </c>
      <c r="Q110" s="10" t="str">
        <f>IFERROR(YearlySavings_Over,"")</f>
        <v/>
      </c>
      <c r="R110" s="10" t="str">
        <f>IFERROR(DesiredRetirementIncome,"")</f>
        <v/>
      </c>
      <c r="S110" s="10" t="str">
        <f>IFERROR(PensionIncome_Over,"")</f>
        <v/>
      </c>
      <c r="T110" s="10" t="str">
        <f>IFERROR(EndBalance,"")</f>
        <v/>
      </c>
      <c r="W110" s="10" t="e">
        <f>IF(Calculations!A110&lt;DesiredRetirementAge,H110,NA())</f>
        <v>#N/A</v>
      </c>
      <c r="X110" s="10" t="str">
        <f>IF(Calculations!A110&gt;=(DesiredRetirementAge-1),H110,NA())</f>
        <v/>
      </c>
      <c r="Y110" s="10"/>
      <c r="AA110" s="10" t="e">
        <f t="shared" si="2"/>
        <v>#VALUE!</v>
      </c>
    </row>
    <row r="111" spans="1:27" x14ac:dyDescent="0.15">
      <c r="A111" s="6" t="str">
        <f>IFERROR(Age,"")</f>
        <v/>
      </c>
      <c r="B111" s="10" t="str">
        <f>IFERROR(Salary,"")</f>
        <v/>
      </c>
      <c r="C111" s="10" t="str">
        <f>IFERROR(Balance,"")</f>
        <v/>
      </c>
      <c r="D111" s="10" t="str">
        <f>IFERROR(Interest,"")</f>
        <v/>
      </c>
      <c r="E111" s="10" t="str">
        <f>IFERROR(YearlySavings,"")</f>
        <v/>
      </c>
      <c r="F111" s="10" t="str">
        <f>IFERROR(DesiredRetirementIncome,"")</f>
        <v/>
      </c>
      <c r="G111" s="10" t="str">
        <f>IFERROR(PensionIncome,"")</f>
        <v/>
      </c>
      <c r="H111" s="10" t="str">
        <f>IFERROR(EndBalance,"")</f>
        <v/>
      </c>
      <c r="I111" s="10" t="str">
        <f>IFERROR(Balance_Under,"")</f>
        <v/>
      </c>
      <c r="J111" s="10" t="str">
        <f>IFERROR(Interest_Under,"")</f>
        <v/>
      </c>
      <c r="K111" s="10" t="str">
        <f>IFERROR(YearlySavings_Under,"")</f>
        <v/>
      </c>
      <c r="L111" s="10" t="str">
        <f>IFERROR(DesiredRetirementIncome,"")</f>
        <v/>
      </c>
      <c r="M111" s="10" t="str">
        <f>IFERROR(PensionIncome_Under,"")</f>
        <v/>
      </c>
      <c r="N111" s="10" t="str">
        <f>IFERROR(EndBalance,"")</f>
        <v/>
      </c>
      <c r="O111" s="10" t="str">
        <f>IFERROR(Balance_Over,"")</f>
        <v/>
      </c>
      <c r="P111" s="10" t="str">
        <f>IFERROR(Interest_Over,"")</f>
        <v/>
      </c>
      <c r="Q111" s="10" t="str">
        <f>IFERROR(YearlySavings_Over,"")</f>
        <v/>
      </c>
      <c r="R111" s="10" t="str">
        <f>IFERROR(DesiredRetirementIncome,"")</f>
        <v/>
      </c>
      <c r="S111" s="10" t="str">
        <f>IFERROR(PensionIncome_Over,"")</f>
        <v/>
      </c>
      <c r="T111" s="10" t="str">
        <f>IFERROR(EndBalance,"")</f>
        <v/>
      </c>
      <c r="W111" s="10" t="e">
        <f>IF(Calculations!A111&lt;DesiredRetirementAge,H111,NA())</f>
        <v>#N/A</v>
      </c>
      <c r="X111" s="10" t="str">
        <f>IF(Calculations!A111&gt;=(DesiredRetirementAge-1),H111,NA())</f>
        <v/>
      </c>
      <c r="Y111" s="10"/>
      <c r="AA111" s="10" t="e">
        <f t="shared" si="2"/>
        <v>#VALUE!</v>
      </c>
    </row>
    <row r="112" spans="1:27" x14ac:dyDescent="0.15">
      <c r="A112" s="6" t="str">
        <f>IFERROR(Age,"")</f>
        <v/>
      </c>
      <c r="B112" s="10" t="str">
        <f>IFERROR(Salary,"")</f>
        <v/>
      </c>
      <c r="C112" s="10" t="str">
        <f>IFERROR(Balance,"")</f>
        <v/>
      </c>
      <c r="D112" s="10" t="str">
        <f>IFERROR(Interest,"")</f>
        <v/>
      </c>
      <c r="E112" s="10" t="str">
        <f>IFERROR(YearlySavings,"")</f>
        <v/>
      </c>
      <c r="F112" s="10" t="str">
        <f>IFERROR(DesiredRetirementIncome,"")</f>
        <v/>
      </c>
      <c r="G112" s="10" t="str">
        <f>IFERROR(PensionIncome,"")</f>
        <v/>
      </c>
      <c r="H112" s="10" t="str">
        <f>IFERROR(EndBalance,"")</f>
        <v/>
      </c>
      <c r="I112" s="10" t="str">
        <f>IFERROR(Balance_Under,"")</f>
        <v/>
      </c>
      <c r="J112" s="10" t="str">
        <f>IFERROR(Interest_Under,"")</f>
        <v/>
      </c>
      <c r="K112" s="10" t="str">
        <f>IFERROR(YearlySavings_Under,"")</f>
        <v/>
      </c>
      <c r="L112" s="10" t="str">
        <f>IFERROR(DesiredRetirementIncome,"")</f>
        <v/>
      </c>
      <c r="M112" s="10" t="str">
        <f>IFERROR(PensionIncome_Under,"")</f>
        <v/>
      </c>
      <c r="N112" s="10" t="str">
        <f>IFERROR(EndBalance,"")</f>
        <v/>
      </c>
      <c r="O112" s="10" t="str">
        <f>IFERROR(Balance_Over,"")</f>
        <v/>
      </c>
      <c r="P112" s="10" t="str">
        <f>IFERROR(Interest_Over,"")</f>
        <v/>
      </c>
      <c r="Q112" s="10" t="str">
        <f>IFERROR(YearlySavings_Over,"")</f>
        <v/>
      </c>
      <c r="R112" s="10" t="str">
        <f>IFERROR(DesiredRetirementIncome,"")</f>
        <v/>
      </c>
      <c r="S112" s="10" t="str">
        <f>IFERROR(PensionIncome_Over,"")</f>
        <v/>
      </c>
      <c r="T112" s="10" t="str">
        <f>IFERROR(EndBalance,"")</f>
        <v/>
      </c>
      <c r="W112" s="10" t="e">
        <f>IF(Calculations!A112&lt;DesiredRetirementAge,H112,NA())</f>
        <v>#N/A</v>
      </c>
      <c r="X112" s="10" t="str">
        <f>IF(Calculations!A112&gt;=(DesiredRetirementAge-1),H112,NA())</f>
        <v/>
      </c>
      <c r="Y112" s="10"/>
      <c r="AA112" s="10" t="e">
        <f t="shared" si="2"/>
        <v>#VALUE!</v>
      </c>
    </row>
    <row r="113" spans="1:27" x14ac:dyDescent="0.15">
      <c r="A113" s="6" t="str">
        <f>IFERROR(Age,"")</f>
        <v/>
      </c>
      <c r="B113" s="10" t="str">
        <f>IFERROR(Salary,"")</f>
        <v/>
      </c>
      <c r="C113" s="10" t="str">
        <f>IFERROR(Balance,"")</f>
        <v/>
      </c>
      <c r="D113" s="10" t="str">
        <f>IFERROR(Interest,"")</f>
        <v/>
      </c>
      <c r="E113" s="10" t="str">
        <f>IFERROR(YearlySavings,"")</f>
        <v/>
      </c>
      <c r="F113" s="10" t="str">
        <f>IFERROR(DesiredRetirementIncome,"")</f>
        <v/>
      </c>
      <c r="G113" s="10" t="str">
        <f>IFERROR(PensionIncome,"")</f>
        <v/>
      </c>
      <c r="H113" s="10" t="str">
        <f>IFERROR(EndBalance,"")</f>
        <v/>
      </c>
      <c r="I113" s="10" t="str">
        <f>IFERROR(Balance_Under,"")</f>
        <v/>
      </c>
      <c r="J113" s="10" t="str">
        <f>IFERROR(Interest_Under,"")</f>
        <v/>
      </c>
      <c r="K113" s="10" t="str">
        <f>IFERROR(YearlySavings_Under,"")</f>
        <v/>
      </c>
      <c r="L113" s="10" t="str">
        <f>IFERROR(DesiredRetirementIncome,"")</f>
        <v/>
      </c>
      <c r="M113" s="10" t="str">
        <f>IFERROR(PensionIncome_Under,"")</f>
        <v/>
      </c>
      <c r="N113" s="10" t="str">
        <f>IFERROR(EndBalance,"")</f>
        <v/>
      </c>
      <c r="O113" s="10" t="str">
        <f>IFERROR(Balance_Over,"")</f>
        <v/>
      </c>
      <c r="P113" s="10" t="str">
        <f>IFERROR(Interest_Over,"")</f>
        <v/>
      </c>
      <c r="Q113" s="10" t="str">
        <f>IFERROR(YearlySavings_Over,"")</f>
        <v/>
      </c>
      <c r="R113" s="10" t="str">
        <f>IFERROR(DesiredRetirementIncome,"")</f>
        <v/>
      </c>
      <c r="S113" s="10" t="str">
        <f>IFERROR(PensionIncome_Over,"")</f>
        <v/>
      </c>
      <c r="T113" s="10" t="str">
        <f>IFERROR(EndBalance,"")</f>
        <v/>
      </c>
      <c r="W113" s="10" t="e">
        <f>IF(Calculations!A113&lt;DesiredRetirementAge,H113,NA())</f>
        <v>#N/A</v>
      </c>
      <c r="X113" s="10" t="str">
        <f>IF(Calculations!A113&gt;=(DesiredRetirementAge-1),H113,NA())</f>
        <v/>
      </c>
      <c r="Y113" s="10"/>
      <c r="AA113" s="10" t="e">
        <f t="shared" si="2"/>
        <v>#VALUE!</v>
      </c>
    </row>
    <row r="114" spans="1:27" x14ac:dyDescent="0.15">
      <c r="A114" s="6" t="str">
        <f>IFERROR(Age,"")</f>
        <v/>
      </c>
      <c r="B114" s="10" t="str">
        <f>IFERROR(Salary,"")</f>
        <v/>
      </c>
      <c r="C114" s="10" t="str">
        <f>IFERROR(Balance,"")</f>
        <v/>
      </c>
      <c r="D114" s="10" t="str">
        <f>IFERROR(Interest,"")</f>
        <v/>
      </c>
      <c r="E114" s="10" t="str">
        <f>IFERROR(YearlySavings,"")</f>
        <v/>
      </c>
      <c r="F114" s="10" t="str">
        <f>IFERROR(DesiredRetirementIncome,"")</f>
        <v/>
      </c>
      <c r="G114" s="10" t="str">
        <f>IFERROR(PensionIncome,"")</f>
        <v/>
      </c>
      <c r="H114" s="10" t="str">
        <f>IFERROR(EndBalance,"")</f>
        <v/>
      </c>
      <c r="I114" s="10" t="str">
        <f>IFERROR(Balance_Under,"")</f>
        <v/>
      </c>
      <c r="J114" s="10" t="str">
        <f>IFERROR(Interest_Under,"")</f>
        <v/>
      </c>
      <c r="K114" s="10" t="str">
        <f>IFERROR(YearlySavings_Under,"")</f>
        <v/>
      </c>
      <c r="L114" s="10" t="str">
        <f>IFERROR(DesiredRetirementIncome,"")</f>
        <v/>
      </c>
      <c r="M114" s="10" t="str">
        <f>IFERROR(PensionIncome_Under,"")</f>
        <v/>
      </c>
      <c r="N114" s="10" t="str">
        <f>IFERROR(EndBalance,"")</f>
        <v/>
      </c>
      <c r="O114" s="10" t="str">
        <f>IFERROR(Balance_Over,"")</f>
        <v/>
      </c>
      <c r="P114" s="10" t="str">
        <f>IFERROR(Interest_Over,"")</f>
        <v/>
      </c>
      <c r="Q114" s="10" t="str">
        <f>IFERROR(YearlySavings_Over,"")</f>
        <v/>
      </c>
      <c r="R114" s="10" t="str">
        <f>IFERROR(DesiredRetirementIncome,"")</f>
        <v/>
      </c>
      <c r="S114" s="10" t="str">
        <f>IFERROR(PensionIncome_Over,"")</f>
        <v/>
      </c>
      <c r="T114" s="10" t="str">
        <f>IFERROR(EndBalance,"")</f>
        <v/>
      </c>
      <c r="W114" s="10" t="e">
        <f>IF(Calculations!A114&lt;DesiredRetirementAge,H114,NA())</f>
        <v>#N/A</v>
      </c>
      <c r="X114" s="10" t="str">
        <f>IF(Calculations!A114&gt;=(DesiredRetirementAge-1),H114,NA())</f>
        <v/>
      </c>
      <c r="Y114" s="10"/>
      <c r="AA114" s="10" t="e">
        <f t="shared" si="2"/>
        <v>#VALUE!</v>
      </c>
    </row>
    <row r="115" spans="1:27" x14ac:dyDescent="0.15">
      <c r="A115" s="6" t="str">
        <f>IFERROR(Age,"")</f>
        <v/>
      </c>
      <c r="B115" s="10" t="str">
        <f>IFERROR(Salary,"")</f>
        <v/>
      </c>
      <c r="C115" s="10" t="str">
        <f>IFERROR(Balance,"")</f>
        <v/>
      </c>
      <c r="D115" s="10" t="str">
        <f>IFERROR(Interest,"")</f>
        <v/>
      </c>
      <c r="E115" s="10" t="str">
        <f>IFERROR(YearlySavings,"")</f>
        <v/>
      </c>
      <c r="F115" s="10" t="str">
        <f>IFERROR(DesiredRetirementIncome,"")</f>
        <v/>
      </c>
      <c r="G115" s="10" t="str">
        <f>IFERROR(PensionIncome,"")</f>
        <v/>
      </c>
      <c r="H115" s="10" t="str">
        <f>IFERROR(EndBalance,"")</f>
        <v/>
      </c>
      <c r="I115" s="10" t="str">
        <f>IFERROR(Balance_Under,"")</f>
        <v/>
      </c>
      <c r="J115" s="10" t="str">
        <f>IFERROR(Interest_Under,"")</f>
        <v/>
      </c>
      <c r="K115" s="10" t="str">
        <f>IFERROR(YearlySavings_Under,"")</f>
        <v/>
      </c>
      <c r="L115" s="10" t="str">
        <f>IFERROR(DesiredRetirementIncome,"")</f>
        <v/>
      </c>
      <c r="M115" s="10" t="str">
        <f>IFERROR(PensionIncome_Under,"")</f>
        <v/>
      </c>
      <c r="N115" s="10" t="str">
        <f>IFERROR(EndBalance,"")</f>
        <v/>
      </c>
      <c r="O115" s="10" t="str">
        <f>IFERROR(Balance_Over,"")</f>
        <v/>
      </c>
      <c r="P115" s="10" t="str">
        <f>IFERROR(Interest_Over,"")</f>
        <v/>
      </c>
      <c r="Q115" s="10" t="str">
        <f>IFERROR(YearlySavings_Over,"")</f>
        <v/>
      </c>
      <c r="R115" s="10" t="str">
        <f>IFERROR(DesiredRetirementIncome,"")</f>
        <v/>
      </c>
      <c r="S115" s="10" t="str">
        <f>IFERROR(PensionIncome_Over,"")</f>
        <v/>
      </c>
      <c r="T115" s="10" t="str">
        <f>IFERROR(EndBalance,"")</f>
        <v/>
      </c>
      <c r="W115" s="10" t="e">
        <f>IF(Calculations!A115&lt;DesiredRetirementAge,H115,NA())</f>
        <v>#N/A</v>
      </c>
      <c r="X115" s="10" t="str">
        <f>IF(Calculations!A115&gt;=(DesiredRetirementAge-1),H115,NA())</f>
        <v/>
      </c>
      <c r="Y115" s="10"/>
      <c r="AA115" s="10" t="e">
        <f t="shared" si="2"/>
        <v>#VALUE!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TM04022385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35</vt:i4>
      </vt:variant>
    </vt:vector>
  </HeadingPairs>
  <TitlesOfParts>
    <vt:vector size="37" baseType="lpstr">
      <vt:lpstr>Retirement planner</vt:lpstr>
      <vt:lpstr>Calculations</vt:lpstr>
      <vt:lpstr>AnnualPenionsBenefitsAtRetirement</vt:lpstr>
      <vt:lpstr>AnnualPensionBenefitAfterRetirementIncreasesPercentage</vt:lpstr>
      <vt:lpstr>AnnualPensionBenefitAmountUncertaintyPercentage</vt:lpstr>
      <vt:lpstr>AnnualPensionCenefitIncreasesUncertaintyPercentage</vt:lpstr>
      <vt:lpstr>AnnualSavingsAmountUncertaintyPercentage</vt:lpstr>
      <vt:lpstr>AnnualSavingsIncreasesUncertaintyPercentage</vt:lpstr>
      <vt:lpstr>ColumnTitleRegion1..I114.1</vt:lpstr>
      <vt:lpstr>CurrentAnnualIncome</vt:lpstr>
      <vt:lpstr>CurrentAnnualIncomeIncreasesPercentage</vt:lpstr>
      <vt:lpstr>CurrentAnnualSavingsAmount</vt:lpstr>
      <vt:lpstr>CurrentAnnualSavingsIncreasesPercentage</vt:lpstr>
      <vt:lpstr>CurrentRetirementSavingsBalance</vt:lpstr>
      <vt:lpstr>DesiredRetirementAge</vt:lpstr>
      <vt:lpstr>IncomeReplacementAtRetirementPercentage</vt:lpstr>
      <vt:lpstr>InvestmentReturnPostRetirementPercentage</vt:lpstr>
      <vt:lpstr>InvestmentReturnPreRetirementPercentage</vt:lpstr>
      <vt:lpstr>InvestmentReturnUncertaintyPercentage</vt:lpstr>
      <vt:lpstr>'Retirement planner'!Print_Titles</vt:lpstr>
      <vt:lpstr>ResultsDisplay_Failure</vt:lpstr>
      <vt:lpstr>ResultsDisplay_Failure_1</vt:lpstr>
      <vt:lpstr>ResultsDisplay_Failure_2</vt:lpstr>
      <vt:lpstr>ResultsDisplay_Failure_3</vt:lpstr>
      <vt:lpstr>ResultsDisplay_Failure_4</vt:lpstr>
      <vt:lpstr>ResultsDisplay_Success</vt:lpstr>
      <vt:lpstr>ResultsDisplay_Success_1</vt:lpstr>
      <vt:lpstr>ResultsDisplay_Success_2</vt:lpstr>
      <vt:lpstr>ResultsDisplay_Success_3</vt:lpstr>
      <vt:lpstr>ResultsDisplay_Success_4</vt:lpstr>
      <vt:lpstr>ResultsDisplay_Success_5</vt:lpstr>
      <vt:lpstr>RowTitleRegion1..D12</vt:lpstr>
      <vt:lpstr>RowTitleRegion2..G11</vt:lpstr>
      <vt:lpstr>RowTitleRegion3..J10</vt:lpstr>
      <vt:lpstr>Success</vt:lpstr>
      <vt:lpstr>YearsOfRetirementIncome</vt:lpstr>
      <vt:lpstr>YourCurrentAge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2023-01-18T17:49:47Z</dcterms:created>
  <dcterms:modified xsi:type="dcterms:W3CDTF">2023-03-19T21:04:49Z</dcterms:modified>
</cp:coreProperties>
</file>